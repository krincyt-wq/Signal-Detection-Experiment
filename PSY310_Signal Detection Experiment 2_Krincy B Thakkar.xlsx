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rincy thakkar\Downloads\"/>
    </mc:Choice>
  </mc:AlternateContent>
  <xr:revisionPtr revIDLastSave="0" documentId="8_{A29C0649-6F8D-499F-939F-445EB11AFDEC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raw_data" sheetId="1" r:id="rId1"/>
    <sheet name="analysi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1" i="2" l="1"/>
  <c r="G101" i="2"/>
  <c r="F101" i="2"/>
  <c r="D101" i="2"/>
  <c r="E101" i="2" s="1"/>
  <c r="I101" i="2" s="1"/>
  <c r="C101" i="2"/>
  <c r="B101" i="2"/>
  <c r="A101" i="2"/>
  <c r="H100" i="2"/>
  <c r="G100" i="2"/>
  <c r="D100" i="2"/>
  <c r="F100" i="2" s="1"/>
  <c r="C100" i="2"/>
  <c r="B100" i="2"/>
  <c r="A100" i="2"/>
  <c r="H99" i="2"/>
  <c r="I99" i="2" s="1"/>
  <c r="D99" i="2"/>
  <c r="G99" i="2" s="1"/>
  <c r="C99" i="2"/>
  <c r="B99" i="2"/>
  <c r="E99" i="2" s="1"/>
  <c r="A99" i="2"/>
  <c r="D98" i="2"/>
  <c r="C98" i="2"/>
  <c r="B98" i="2"/>
  <c r="F98" i="2" s="1"/>
  <c r="A98" i="2"/>
  <c r="D97" i="2"/>
  <c r="E97" i="2" s="1"/>
  <c r="C97" i="2"/>
  <c r="B97" i="2"/>
  <c r="A97" i="2"/>
  <c r="D96" i="2"/>
  <c r="C96" i="2"/>
  <c r="B96" i="2"/>
  <c r="A96" i="2"/>
  <c r="D95" i="2"/>
  <c r="C95" i="2"/>
  <c r="B95" i="2"/>
  <c r="A95" i="2"/>
  <c r="G94" i="2"/>
  <c r="F94" i="2"/>
  <c r="E94" i="2"/>
  <c r="I94" i="2" s="1"/>
  <c r="D94" i="2"/>
  <c r="C94" i="2"/>
  <c r="B94" i="2"/>
  <c r="H94" i="2" s="1"/>
  <c r="A94" i="2"/>
  <c r="H93" i="2"/>
  <c r="G93" i="2"/>
  <c r="F93" i="2"/>
  <c r="D93" i="2"/>
  <c r="C93" i="2"/>
  <c r="B93" i="2"/>
  <c r="E93" i="2" s="1"/>
  <c r="A93" i="2"/>
  <c r="H92" i="2"/>
  <c r="G92" i="2"/>
  <c r="D92" i="2"/>
  <c r="F92" i="2" s="1"/>
  <c r="C92" i="2"/>
  <c r="B92" i="2"/>
  <c r="A92" i="2"/>
  <c r="D91" i="2"/>
  <c r="C91" i="2"/>
  <c r="B91" i="2"/>
  <c r="E91" i="2" s="1"/>
  <c r="A91" i="2"/>
  <c r="D90" i="2"/>
  <c r="C90" i="2"/>
  <c r="B90" i="2"/>
  <c r="F90" i="2" s="1"/>
  <c r="A90" i="2"/>
  <c r="D89" i="2"/>
  <c r="C89" i="2"/>
  <c r="B89" i="2"/>
  <c r="A89" i="2"/>
  <c r="E88" i="2"/>
  <c r="D88" i="2"/>
  <c r="C88" i="2"/>
  <c r="B88" i="2"/>
  <c r="A88" i="2"/>
  <c r="F87" i="2"/>
  <c r="E87" i="2"/>
  <c r="D87" i="2"/>
  <c r="C87" i="2"/>
  <c r="B87" i="2"/>
  <c r="A87" i="2"/>
  <c r="G86" i="2"/>
  <c r="F86" i="2"/>
  <c r="E86" i="2"/>
  <c r="I86" i="2" s="1"/>
  <c r="D86" i="2"/>
  <c r="C86" i="2"/>
  <c r="B86" i="2"/>
  <c r="H86" i="2" s="1"/>
  <c r="A86" i="2"/>
  <c r="H85" i="2"/>
  <c r="G85" i="2"/>
  <c r="F85" i="2"/>
  <c r="D85" i="2"/>
  <c r="C85" i="2"/>
  <c r="B85" i="2"/>
  <c r="E85" i="2" s="1"/>
  <c r="A85" i="2"/>
  <c r="H84" i="2"/>
  <c r="G84" i="2"/>
  <c r="D84" i="2"/>
  <c r="F84" i="2" s="1"/>
  <c r="C84" i="2"/>
  <c r="B84" i="2"/>
  <c r="A84" i="2"/>
  <c r="D83" i="2"/>
  <c r="C83" i="2"/>
  <c r="B83" i="2"/>
  <c r="E83" i="2" s="1"/>
  <c r="A83" i="2"/>
  <c r="D82" i="2"/>
  <c r="H82" i="2" s="1"/>
  <c r="C82" i="2"/>
  <c r="B82" i="2"/>
  <c r="F82" i="2" s="1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G78" i="2"/>
  <c r="F78" i="2"/>
  <c r="E78" i="2"/>
  <c r="I78" i="2" s="1"/>
  <c r="D78" i="2"/>
  <c r="C78" i="2"/>
  <c r="B78" i="2"/>
  <c r="H78" i="2" s="1"/>
  <c r="A78" i="2"/>
  <c r="H77" i="2"/>
  <c r="G77" i="2"/>
  <c r="F77" i="2"/>
  <c r="D77" i="2"/>
  <c r="E77" i="2" s="1"/>
  <c r="I77" i="2" s="1"/>
  <c r="C77" i="2"/>
  <c r="B77" i="2"/>
  <c r="A77" i="2"/>
  <c r="H76" i="2"/>
  <c r="G76" i="2"/>
  <c r="D76" i="2"/>
  <c r="F76" i="2" s="1"/>
  <c r="C76" i="2"/>
  <c r="B76" i="2"/>
  <c r="A76" i="2"/>
  <c r="D75" i="2"/>
  <c r="C75" i="2"/>
  <c r="B75" i="2"/>
  <c r="E75" i="2" s="1"/>
  <c r="A75" i="2"/>
  <c r="D74" i="2"/>
  <c r="H74" i="2" s="1"/>
  <c r="C74" i="2"/>
  <c r="B74" i="2"/>
  <c r="F74" i="2" s="1"/>
  <c r="A74" i="2"/>
  <c r="D73" i="2"/>
  <c r="C73" i="2"/>
  <c r="B73" i="2"/>
  <c r="A73" i="2"/>
  <c r="E72" i="2"/>
  <c r="D72" i="2"/>
  <c r="C72" i="2"/>
  <c r="B72" i="2"/>
  <c r="A72" i="2"/>
  <c r="D71" i="2"/>
  <c r="C71" i="2"/>
  <c r="B71" i="2"/>
  <c r="A71" i="2"/>
  <c r="G70" i="2"/>
  <c r="F70" i="2"/>
  <c r="E70" i="2"/>
  <c r="D70" i="2"/>
  <c r="C70" i="2"/>
  <c r="B70" i="2"/>
  <c r="H70" i="2" s="1"/>
  <c r="A70" i="2"/>
  <c r="H69" i="2"/>
  <c r="G69" i="2"/>
  <c r="F69" i="2"/>
  <c r="D69" i="2"/>
  <c r="C69" i="2"/>
  <c r="B69" i="2"/>
  <c r="E69" i="2" s="1"/>
  <c r="I69" i="2" s="1"/>
  <c r="A69" i="2"/>
  <c r="H68" i="2"/>
  <c r="G68" i="2"/>
  <c r="D68" i="2"/>
  <c r="F68" i="2" s="1"/>
  <c r="C68" i="2"/>
  <c r="B68" i="2"/>
  <c r="A68" i="2"/>
  <c r="D67" i="2"/>
  <c r="C67" i="2"/>
  <c r="B67" i="2"/>
  <c r="E67" i="2" s="1"/>
  <c r="A67" i="2"/>
  <c r="F66" i="2"/>
  <c r="D66" i="2"/>
  <c r="H66" i="2" s="1"/>
  <c r="C66" i="2"/>
  <c r="B66" i="2"/>
  <c r="A66" i="2"/>
  <c r="D65" i="2"/>
  <c r="C65" i="2"/>
  <c r="B65" i="2"/>
  <c r="A65" i="2"/>
  <c r="H64" i="2"/>
  <c r="E64" i="2"/>
  <c r="I64" i="2" s="1"/>
  <c r="D64" i="2"/>
  <c r="C64" i="2"/>
  <c r="B64" i="2"/>
  <c r="A64" i="2"/>
  <c r="F63" i="2"/>
  <c r="D63" i="2"/>
  <c r="C63" i="2"/>
  <c r="B63" i="2"/>
  <c r="A63" i="2"/>
  <c r="G62" i="2"/>
  <c r="F62" i="2"/>
  <c r="E62" i="2"/>
  <c r="I62" i="2" s="1"/>
  <c r="D62" i="2"/>
  <c r="C62" i="2"/>
  <c r="B62" i="2"/>
  <c r="H62" i="2" s="1"/>
  <c r="A62" i="2"/>
  <c r="H61" i="2"/>
  <c r="G61" i="2"/>
  <c r="F61" i="2"/>
  <c r="D61" i="2"/>
  <c r="C61" i="2"/>
  <c r="B61" i="2"/>
  <c r="E61" i="2" s="1"/>
  <c r="A61" i="2"/>
  <c r="D60" i="2"/>
  <c r="H60" i="2" s="1"/>
  <c r="C60" i="2"/>
  <c r="B60" i="2"/>
  <c r="A60" i="2"/>
  <c r="D59" i="2"/>
  <c r="C59" i="2"/>
  <c r="B59" i="2"/>
  <c r="H59" i="2" s="1"/>
  <c r="A59" i="2"/>
  <c r="D58" i="2"/>
  <c r="C58" i="2"/>
  <c r="B58" i="2"/>
  <c r="F58" i="2" s="1"/>
  <c r="A58" i="2"/>
  <c r="G57" i="2"/>
  <c r="D57" i="2"/>
  <c r="C57" i="2"/>
  <c r="B57" i="2"/>
  <c r="A57" i="2"/>
  <c r="D56" i="2"/>
  <c r="H56" i="2" s="1"/>
  <c r="C56" i="2"/>
  <c r="B56" i="2"/>
  <c r="A56" i="2"/>
  <c r="D55" i="2"/>
  <c r="C55" i="2"/>
  <c r="B55" i="2"/>
  <c r="A55" i="2"/>
  <c r="D54" i="2"/>
  <c r="C54" i="2"/>
  <c r="B54" i="2"/>
  <c r="H54" i="2" s="1"/>
  <c r="A54" i="2"/>
  <c r="H53" i="2"/>
  <c r="G53" i="2"/>
  <c r="F53" i="2"/>
  <c r="D53" i="2"/>
  <c r="E53" i="2" s="1"/>
  <c r="I53" i="2" s="1"/>
  <c r="C53" i="2"/>
  <c r="B53" i="2"/>
  <c r="A53" i="2"/>
  <c r="H52" i="2"/>
  <c r="G52" i="2"/>
  <c r="D52" i="2"/>
  <c r="C52" i="2"/>
  <c r="B52" i="2"/>
  <c r="A52" i="2"/>
  <c r="H51" i="2"/>
  <c r="D51" i="2"/>
  <c r="G51" i="2" s="1"/>
  <c r="C51" i="2"/>
  <c r="B51" i="2"/>
  <c r="E51" i="2" s="1"/>
  <c r="I51" i="2" s="1"/>
  <c r="A51" i="2"/>
  <c r="F50" i="2"/>
  <c r="D50" i="2"/>
  <c r="H50" i="2" s="1"/>
  <c r="C50" i="2"/>
  <c r="B50" i="2"/>
  <c r="A50" i="2"/>
  <c r="D49" i="2"/>
  <c r="C49" i="2"/>
  <c r="B49" i="2"/>
  <c r="A49" i="2"/>
  <c r="H48" i="2"/>
  <c r="E48" i="2"/>
  <c r="I48" i="2" s="1"/>
  <c r="D48" i="2"/>
  <c r="C48" i="2"/>
  <c r="B48" i="2"/>
  <c r="A48" i="2"/>
  <c r="F47" i="2"/>
  <c r="D47" i="2"/>
  <c r="C47" i="2"/>
  <c r="B47" i="2"/>
  <c r="A47" i="2"/>
  <c r="G46" i="2"/>
  <c r="F46" i="2"/>
  <c r="E46" i="2"/>
  <c r="I46" i="2" s="1"/>
  <c r="D46" i="2"/>
  <c r="H46" i="2" s="1"/>
  <c r="C46" i="2"/>
  <c r="B46" i="2"/>
  <c r="A46" i="2"/>
  <c r="H45" i="2"/>
  <c r="G45" i="2"/>
  <c r="F45" i="2"/>
  <c r="E45" i="2"/>
  <c r="I45" i="2" s="1"/>
  <c r="D45" i="2"/>
  <c r="C45" i="2"/>
  <c r="B45" i="2"/>
  <c r="A45" i="2"/>
  <c r="H44" i="2"/>
  <c r="I44" i="2" s="1"/>
  <c r="G44" i="2"/>
  <c r="F44" i="2"/>
  <c r="D44" i="2"/>
  <c r="E44" i="2" s="1"/>
  <c r="C44" i="2"/>
  <c r="B44" i="2"/>
  <c r="A44" i="2"/>
  <c r="H43" i="2"/>
  <c r="G43" i="2"/>
  <c r="E43" i="2"/>
  <c r="I43" i="2" s="1"/>
  <c r="D43" i="2"/>
  <c r="F43" i="2" s="1"/>
  <c r="C43" i="2"/>
  <c r="B43" i="2"/>
  <c r="A43" i="2"/>
  <c r="H42" i="2"/>
  <c r="F42" i="2"/>
  <c r="D42" i="2"/>
  <c r="G42" i="2" s="1"/>
  <c r="C42" i="2"/>
  <c r="B42" i="2"/>
  <c r="A42" i="2"/>
  <c r="D41" i="2"/>
  <c r="C41" i="2"/>
  <c r="B41" i="2"/>
  <c r="A41" i="2"/>
  <c r="D40" i="2"/>
  <c r="C40" i="2"/>
  <c r="B40" i="2"/>
  <c r="H40" i="2" s="1"/>
  <c r="A40" i="2"/>
  <c r="F39" i="2"/>
  <c r="E39" i="2"/>
  <c r="D39" i="2"/>
  <c r="C39" i="2"/>
  <c r="B39" i="2"/>
  <c r="A39" i="2"/>
  <c r="G38" i="2"/>
  <c r="F38" i="2"/>
  <c r="D38" i="2"/>
  <c r="H38" i="2" s="1"/>
  <c r="C38" i="2"/>
  <c r="B38" i="2"/>
  <c r="A38" i="2"/>
  <c r="H37" i="2"/>
  <c r="G37" i="2"/>
  <c r="F37" i="2"/>
  <c r="E37" i="2"/>
  <c r="D37" i="2"/>
  <c r="C37" i="2"/>
  <c r="B37" i="2"/>
  <c r="A37" i="2"/>
  <c r="H36" i="2"/>
  <c r="I36" i="2" s="1"/>
  <c r="G36" i="2"/>
  <c r="D36" i="2"/>
  <c r="E36" i="2" s="1"/>
  <c r="C36" i="2"/>
  <c r="B36" i="2"/>
  <c r="A36" i="2"/>
  <c r="H35" i="2"/>
  <c r="G35" i="2"/>
  <c r="D35" i="2"/>
  <c r="F35" i="2" s="1"/>
  <c r="C35" i="2"/>
  <c r="B35" i="2"/>
  <c r="E35" i="2" s="1"/>
  <c r="I35" i="2" s="1"/>
  <c r="A35" i="2"/>
  <c r="H34" i="2"/>
  <c r="F34" i="2"/>
  <c r="D34" i="2"/>
  <c r="G34" i="2" s="1"/>
  <c r="C34" i="2"/>
  <c r="B34" i="2"/>
  <c r="A34" i="2"/>
  <c r="D33" i="2"/>
  <c r="C33" i="2"/>
  <c r="B33" i="2"/>
  <c r="A33" i="2"/>
  <c r="D32" i="2"/>
  <c r="C32" i="2"/>
  <c r="B32" i="2"/>
  <c r="A32" i="2"/>
  <c r="F31" i="2"/>
  <c r="D31" i="2"/>
  <c r="C31" i="2"/>
  <c r="B31" i="2"/>
  <c r="A31" i="2"/>
  <c r="G30" i="2"/>
  <c r="D30" i="2"/>
  <c r="C30" i="2"/>
  <c r="B30" i="2"/>
  <c r="F30" i="2" s="1"/>
  <c r="A30" i="2"/>
  <c r="H29" i="2"/>
  <c r="I29" i="2" s="1"/>
  <c r="G29" i="2"/>
  <c r="F29" i="2"/>
  <c r="D29" i="2"/>
  <c r="E29" i="2" s="1"/>
  <c r="C29" i="2"/>
  <c r="B29" i="2"/>
  <c r="A29" i="2"/>
  <c r="D28" i="2"/>
  <c r="C28" i="2"/>
  <c r="B28" i="2"/>
  <c r="H28" i="2" s="1"/>
  <c r="A28" i="2"/>
  <c r="H27" i="2"/>
  <c r="D27" i="2"/>
  <c r="C27" i="2"/>
  <c r="B27" i="2"/>
  <c r="A27" i="2"/>
  <c r="G26" i="2"/>
  <c r="F26" i="2"/>
  <c r="D26" i="2"/>
  <c r="H26" i="2" s="1"/>
  <c r="C26" i="2"/>
  <c r="B26" i="2"/>
  <c r="A26" i="2"/>
  <c r="H25" i="2"/>
  <c r="G25" i="2"/>
  <c r="F25" i="2"/>
  <c r="E25" i="2"/>
  <c r="D25" i="2"/>
  <c r="C25" i="2"/>
  <c r="B25" i="2"/>
  <c r="A25" i="2"/>
  <c r="H24" i="2"/>
  <c r="I24" i="2" s="1"/>
  <c r="G24" i="2"/>
  <c r="D24" i="2"/>
  <c r="E24" i="2" s="1"/>
  <c r="C24" i="2"/>
  <c r="B24" i="2"/>
  <c r="A24" i="2"/>
  <c r="H23" i="2"/>
  <c r="G23" i="2"/>
  <c r="D23" i="2"/>
  <c r="F23" i="2" s="1"/>
  <c r="C23" i="2"/>
  <c r="B23" i="2"/>
  <c r="E23" i="2" s="1"/>
  <c r="I23" i="2" s="1"/>
  <c r="A23" i="2"/>
  <c r="G22" i="2"/>
  <c r="D22" i="2"/>
  <c r="C22" i="2"/>
  <c r="B22" i="2"/>
  <c r="A22" i="2"/>
  <c r="D21" i="2"/>
  <c r="C21" i="2"/>
  <c r="B21" i="2"/>
  <c r="A21" i="2"/>
  <c r="D20" i="2"/>
  <c r="H20" i="2" s="1"/>
  <c r="C20" i="2"/>
  <c r="B20" i="2"/>
  <c r="A20" i="2"/>
  <c r="D19" i="2"/>
  <c r="E19" i="2" s="1"/>
  <c r="C19" i="2"/>
  <c r="B19" i="2"/>
  <c r="A19" i="2"/>
  <c r="H18" i="2"/>
  <c r="F18" i="2"/>
  <c r="D18" i="2"/>
  <c r="G18" i="2" s="1"/>
  <c r="C18" i="2"/>
  <c r="B18" i="2"/>
  <c r="A18" i="2"/>
  <c r="D17" i="2"/>
  <c r="C17" i="2"/>
  <c r="B17" i="2"/>
  <c r="A17" i="2"/>
  <c r="F16" i="2"/>
  <c r="D16" i="2"/>
  <c r="C16" i="2"/>
  <c r="B16" i="2"/>
  <c r="A16" i="2"/>
  <c r="H15" i="2"/>
  <c r="G15" i="2"/>
  <c r="F15" i="2"/>
  <c r="E15" i="2"/>
  <c r="D15" i="2"/>
  <c r="C15" i="2"/>
  <c r="B15" i="2"/>
  <c r="A15" i="2"/>
  <c r="I14" i="2"/>
  <c r="H14" i="2"/>
  <c r="G14" i="2"/>
  <c r="D14" i="2"/>
  <c r="E14" i="2" s="1"/>
  <c r="C14" i="2"/>
  <c r="B14" i="2"/>
  <c r="A14" i="2"/>
  <c r="D13" i="2"/>
  <c r="C13" i="2"/>
  <c r="B13" i="2"/>
  <c r="H13" i="2" s="1"/>
  <c r="A13" i="2"/>
  <c r="D12" i="2"/>
  <c r="C12" i="2"/>
  <c r="B12" i="2"/>
  <c r="H12" i="2" s="1"/>
  <c r="A12" i="2"/>
  <c r="F11" i="2"/>
  <c r="D11" i="2"/>
  <c r="C11" i="2"/>
  <c r="B11" i="2"/>
  <c r="A11" i="2"/>
  <c r="H10" i="2"/>
  <c r="G10" i="2"/>
  <c r="F10" i="2"/>
  <c r="E10" i="2"/>
  <c r="D10" i="2"/>
  <c r="C10" i="2"/>
  <c r="B10" i="2"/>
  <c r="A10" i="2"/>
  <c r="H9" i="2"/>
  <c r="D9" i="2"/>
  <c r="C9" i="2"/>
  <c r="B9" i="2"/>
  <c r="G9" i="2" s="1"/>
  <c r="A9" i="2"/>
  <c r="D8" i="2"/>
  <c r="C8" i="2"/>
  <c r="B8" i="2"/>
  <c r="A8" i="2"/>
  <c r="F7" i="2"/>
  <c r="E7" i="2"/>
  <c r="D7" i="2"/>
  <c r="C7" i="2"/>
  <c r="B7" i="2"/>
  <c r="A7" i="2"/>
  <c r="D6" i="2"/>
  <c r="H6" i="2" s="1"/>
  <c r="C6" i="2"/>
  <c r="B6" i="2"/>
  <c r="A6" i="2"/>
  <c r="H5" i="2"/>
  <c r="G5" i="2"/>
  <c r="E5" i="2"/>
  <c r="I5" i="2" s="1"/>
  <c r="D5" i="2"/>
  <c r="F5" i="2" s="1"/>
  <c r="C5" i="2"/>
  <c r="B5" i="2"/>
  <c r="A5" i="2"/>
  <c r="H4" i="2"/>
  <c r="E4" i="2"/>
  <c r="I4" i="2" s="1"/>
  <c r="D4" i="2"/>
  <c r="C4" i="2"/>
  <c r="B4" i="2"/>
  <c r="A4" i="2"/>
  <c r="D3" i="2"/>
  <c r="F3" i="2" s="1"/>
  <c r="C3" i="2"/>
  <c r="B3" i="2"/>
  <c r="A3" i="2"/>
  <c r="D2" i="2"/>
  <c r="H2" i="2" s="1"/>
  <c r="C2" i="2"/>
  <c r="B2" i="2"/>
  <c r="A2" i="2"/>
  <c r="I75" i="2" l="1"/>
  <c r="I91" i="2"/>
  <c r="G79" i="2"/>
  <c r="H79" i="2"/>
  <c r="E3" i="2"/>
  <c r="F6" i="2"/>
  <c r="E20" i="2"/>
  <c r="I20" i="2" s="1"/>
  <c r="E41" i="2"/>
  <c r="H41" i="2"/>
  <c r="F41" i="2"/>
  <c r="G55" i="2"/>
  <c r="H55" i="2"/>
  <c r="G59" i="2"/>
  <c r="G60" i="2"/>
  <c r="E89" i="2"/>
  <c r="H89" i="2"/>
  <c r="G89" i="2"/>
  <c r="F89" i="2"/>
  <c r="F32" i="2"/>
  <c r="G32" i="2"/>
  <c r="E49" i="2"/>
  <c r="H49" i="2"/>
  <c r="F49" i="2"/>
  <c r="E59" i="2"/>
  <c r="I59" i="2" s="1"/>
  <c r="E65" i="2"/>
  <c r="H65" i="2"/>
  <c r="F65" i="2"/>
  <c r="G91" i="2"/>
  <c r="F96" i="2"/>
  <c r="H96" i="2"/>
  <c r="G96" i="2"/>
  <c r="E96" i="2"/>
  <c r="I96" i="2" s="1"/>
  <c r="G2" i="2"/>
  <c r="G16" i="2"/>
  <c r="H16" i="2"/>
  <c r="G31" i="2"/>
  <c r="H31" i="2"/>
  <c r="F55" i="2"/>
  <c r="H58" i="2"/>
  <c r="G65" i="2"/>
  <c r="E73" i="2"/>
  <c r="H73" i="2"/>
  <c r="G73" i="2"/>
  <c r="F73" i="2"/>
  <c r="G83" i="2"/>
  <c r="H91" i="2"/>
  <c r="E33" i="2"/>
  <c r="H33" i="2"/>
  <c r="F33" i="2"/>
  <c r="F56" i="2"/>
  <c r="G56" i="2"/>
  <c r="G71" i="2"/>
  <c r="H71" i="2"/>
  <c r="F19" i="2"/>
  <c r="G33" i="2"/>
  <c r="E56" i="2"/>
  <c r="I56" i="2" s="1"/>
  <c r="E71" i="2"/>
  <c r="I71" i="2" s="1"/>
  <c r="F79" i="2"/>
  <c r="H17" i="2"/>
  <c r="F17" i="2"/>
  <c r="E17" i="2"/>
  <c r="G19" i="2"/>
  <c r="E55" i="2"/>
  <c r="I70" i="2"/>
  <c r="F71" i="2"/>
  <c r="E81" i="2"/>
  <c r="H81" i="2"/>
  <c r="G81" i="2"/>
  <c r="F81" i="2"/>
  <c r="H98" i="2"/>
  <c r="G13" i="2"/>
  <c r="G17" i="2"/>
  <c r="H19" i="2"/>
  <c r="I19" i="2" s="1"/>
  <c r="G20" i="2"/>
  <c r="E32" i="2"/>
  <c r="I32" i="2" s="1"/>
  <c r="F40" i="2"/>
  <c r="G40" i="2"/>
  <c r="G49" i="2"/>
  <c r="E54" i="2"/>
  <c r="I54" i="2" s="1"/>
  <c r="F9" i="2"/>
  <c r="F12" i="2"/>
  <c r="G12" i="2"/>
  <c r="F13" i="2"/>
  <c r="F14" i="2"/>
  <c r="I15" i="2"/>
  <c r="E16" i="2"/>
  <c r="G28" i="2"/>
  <c r="H30" i="2"/>
  <c r="E31" i="2"/>
  <c r="I31" i="2" s="1"/>
  <c r="H32" i="2"/>
  <c r="G39" i="2"/>
  <c r="H39" i="2"/>
  <c r="I39" i="2" s="1"/>
  <c r="E40" i="2"/>
  <c r="I40" i="2" s="1"/>
  <c r="F48" i="2"/>
  <c r="G48" i="2"/>
  <c r="F52" i="2"/>
  <c r="E52" i="2"/>
  <c r="I52" i="2" s="1"/>
  <c r="F54" i="2"/>
  <c r="F64" i="2"/>
  <c r="G64" i="2"/>
  <c r="G75" i="2"/>
  <c r="H83" i="2"/>
  <c r="I83" i="2" s="1"/>
  <c r="F88" i="2"/>
  <c r="H88" i="2"/>
  <c r="G88" i="2"/>
  <c r="H3" i="2"/>
  <c r="L5" i="2" s="1"/>
  <c r="K10" i="2" s="1"/>
  <c r="K29" i="2" s="1"/>
  <c r="G3" i="2"/>
  <c r="G21" i="2"/>
  <c r="H21" i="2"/>
  <c r="E6" i="2"/>
  <c r="I6" i="2" s="1"/>
  <c r="E21" i="2"/>
  <c r="I21" i="2" s="1"/>
  <c r="F60" i="2"/>
  <c r="E60" i="2"/>
  <c r="I60" i="2" s="1"/>
  <c r="E79" i="2"/>
  <c r="I79" i="2" s="1"/>
  <c r="F20" i="2"/>
  <c r="E8" i="2"/>
  <c r="H8" i="2"/>
  <c r="F8" i="2"/>
  <c r="G11" i="2"/>
  <c r="H11" i="2"/>
  <c r="F27" i="2"/>
  <c r="G27" i="2"/>
  <c r="E30" i="2"/>
  <c r="G47" i="2"/>
  <c r="H47" i="2"/>
  <c r="G54" i="2"/>
  <c r="I61" i="2"/>
  <c r="G63" i="2"/>
  <c r="H63" i="2"/>
  <c r="G67" i="2"/>
  <c r="H75" i="2"/>
  <c r="F80" i="2"/>
  <c r="H80" i="2"/>
  <c r="G80" i="2"/>
  <c r="I88" i="2"/>
  <c r="H90" i="2"/>
  <c r="I93" i="2"/>
  <c r="G95" i="2"/>
  <c r="H95" i="2"/>
  <c r="F95" i="2"/>
  <c r="E2" i="2"/>
  <c r="F21" i="2"/>
  <c r="F2" i="2"/>
  <c r="G6" i="2"/>
  <c r="G41" i="2"/>
  <c r="E9" i="2"/>
  <c r="I9" i="2" s="1"/>
  <c r="E12" i="2"/>
  <c r="I12" i="2" s="1"/>
  <c r="F28" i="2"/>
  <c r="G4" i="2"/>
  <c r="F4" i="2"/>
  <c r="G7" i="2"/>
  <c r="H7" i="2"/>
  <c r="I7" i="2" s="1"/>
  <c r="G8" i="2"/>
  <c r="I10" i="2"/>
  <c r="E11" i="2"/>
  <c r="E22" i="2"/>
  <c r="H22" i="2"/>
  <c r="F22" i="2"/>
  <c r="F24" i="2"/>
  <c r="I25" i="2"/>
  <c r="E26" i="2"/>
  <c r="I26" i="2" s="1"/>
  <c r="E27" i="2"/>
  <c r="I27" i="2" s="1"/>
  <c r="F36" i="2"/>
  <c r="I37" i="2"/>
  <c r="E38" i="2"/>
  <c r="I38" i="2" s="1"/>
  <c r="E47" i="2"/>
  <c r="I47" i="2" s="1"/>
  <c r="E57" i="2"/>
  <c r="H57" i="2"/>
  <c r="F57" i="2"/>
  <c r="E63" i="2"/>
  <c r="I63" i="2" s="1"/>
  <c r="H67" i="2"/>
  <c r="I67" i="2" s="1"/>
  <c r="F72" i="2"/>
  <c r="H72" i="2"/>
  <c r="I72" i="2" s="1"/>
  <c r="G72" i="2"/>
  <c r="E80" i="2"/>
  <c r="I80" i="2" s="1"/>
  <c r="I85" i="2"/>
  <c r="G87" i="2"/>
  <c r="H87" i="2"/>
  <c r="I87" i="2" s="1"/>
  <c r="E95" i="2"/>
  <c r="I95" i="2" s="1"/>
  <c r="I97" i="2"/>
  <c r="E13" i="2"/>
  <c r="I13" i="2" s="1"/>
  <c r="E18" i="2"/>
  <c r="I18" i="2" s="1"/>
  <c r="E28" i="2"/>
  <c r="I28" i="2" s="1"/>
  <c r="E34" i="2"/>
  <c r="I34" i="2" s="1"/>
  <c r="E42" i="2"/>
  <c r="I42" i="2" s="1"/>
  <c r="E50" i="2"/>
  <c r="I50" i="2" s="1"/>
  <c r="E58" i="2"/>
  <c r="E66" i="2"/>
  <c r="I66" i="2" s="1"/>
  <c r="E74" i="2"/>
  <c r="I74" i="2" s="1"/>
  <c r="E82" i="2"/>
  <c r="I82" i="2" s="1"/>
  <c r="E90" i="2"/>
  <c r="F97" i="2"/>
  <c r="E98" i="2"/>
  <c r="I98" i="2" s="1"/>
  <c r="G97" i="2"/>
  <c r="G50" i="2"/>
  <c r="F51" i="2"/>
  <c r="G58" i="2"/>
  <c r="F59" i="2"/>
  <c r="G66" i="2"/>
  <c r="F67" i="2"/>
  <c r="E68" i="2"/>
  <c r="I68" i="2" s="1"/>
  <c r="G74" i="2"/>
  <c r="F75" i="2"/>
  <c r="E76" i="2"/>
  <c r="I76" i="2" s="1"/>
  <c r="G82" i="2"/>
  <c r="F83" i="2"/>
  <c r="E84" i="2"/>
  <c r="I84" i="2" s="1"/>
  <c r="G90" i="2"/>
  <c r="F91" i="2"/>
  <c r="E92" i="2"/>
  <c r="I92" i="2" s="1"/>
  <c r="H97" i="2"/>
  <c r="G98" i="2"/>
  <c r="F99" i="2"/>
  <c r="E100" i="2"/>
  <c r="I100" i="2" s="1"/>
  <c r="I90" i="2" l="1"/>
  <c r="I33" i="2"/>
  <c r="I41" i="2"/>
  <c r="K5" i="2"/>
  <c r="K9" i="2" s="1"/>
  <c r="L4" i="2"/>
  <c r="K8" i="2" s="1"/>
  <c r="I65" i="2"/>
  <c r="I81" i="2"/>
  <c r="I57" i="2"/>
  <c r="I73" i="2"/>
  <c r="I55" i="2"/>
  <c r="I2" i="2"/>
  <c r="K4" i="2"/>
  <c r="K7" i="2" s="1"/>
  <c r="I16" i="2"/>
  <c r="I89" i="2"/>
  <c r="I22" i="2"/>
  <c r="I8" i="2"/>
  <c r="I17" i="2"/>
  <c r="I58" i="2"/>
  <c r="I11" i="2"/>
  <c r="I30" i="2"/>
  <c r="I49" i="2"/>
  <c r="I3" i="2"/>
  <c r="K15" i="2" l="1"/>
  <c r="K18" i="2" s="1"/>
  <c r="K26" i="2"/>
  <c r="K12" i="2"/>
  <c r="K16" i="2"/>
  <c r="K19" i="2" s="1"/>
  <c r="K28" i="2"/>
  <c r="K13" i="2"/>
  <c r="K27" i="2"/>
  <c r="K21" i="2" l="1"/>
  <c r="K22" i="2"/>
</calcChain>
</file>

<file path=xl/sharedStrings.xml><?xml version="1.0" encoding="utf-8"?>
<sst xmlns="http://schemas.openxmlformats.org/spreadsheetml/2006/main" count="135" uniqueCount="26">
  <si>
    <t>key_resp.keys</t>
  </si>
  <si>
    <t>key_resp.corr</t>
  </si>
  <si>
    <t>tilt</t>
  </si>
  <si>
    <t>up</t>
  </si>
  <si>
    <t>down</t>
  </si>
  <si>
    <t>Trial</t>
  </si>
  <si>
    <t>Hit</t>
  </si>
  <si>
    <t>Miss</t>
  </si>
  <si>
    <t>False Alarm</t>
  </si>
  <si>
    <t>Correct Rejection</t>
  </si>
  <si>
    <t>Correct (Hit or CR)</t>
  </si>
  <si>
    <t>SDT 2x2 outcome table</t>
  </si>
  <si>
    <t>Respond YES</t>
  </si>
  <si>
    <t>Respond NO</t>
  </si>
  <si>
    <t>Signal present (tilt = 0)</t>
  </si>
  <si>
    <t>Signal absent (tilt &lt;&gt; 0)</t>
  </si>
  <si>
    <t>Response Yes (Hit+FA)</t>
  </si>
  <si>
    <t>Response No (Miss+CR)</t>
  </si>
  <si>
    <t>prop hit = hit / (hit + miss)</t>
  </si>
  <si>
    <t>prop fa = fa / (fa + correct rejection)</t>
  </si>
  <si>
    <t>z(prop hit)</t>
  </si>
  <si>
    <t>z(prop fa)</t>
  </si>
  <si>
    <t>d' = z(prop hit) - z(prop fa)</t>
  </si>
  <si>
    <t>c = -[z(prop hit) + z(prop fa)] / 2</t>
  </si>
  <si>
    <t>Outcome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</si>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</sst>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i/>
      <sz val="11"/>
      <name val="Cambri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Signal Detection Outcome Counts (N 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analysis!$K$25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analysis!$J$26:$J$29</c:f>
              <c:strCache>
                <c:ptCount val="4"/>
                <c:pt idx="0">
                  <c:v>Hit</c:v>
                </c:pt>
                <c:pt idx="1">
                  <c:v>Miss</c:v>
                </c:pt>
                <c:pt idx="2">
                  <c:v>False Alarm</c:v>
                </c:pt>
                <c:pt idx="3">
                  <c:v>Correct Rejection</c:v>
                </c:pt>
              </c:strCache>
            </c:strRef>
          </c:cat>
          <c:val>
            <c:numRef>
              <c:f>analysis!$K$26:$K$29</c:f>
              <c:numCache>
                <c:formatCode>General</c:formatCode>
                <c:ptCount val="4"/>
                <c:pt idx="0">
                  <c:v>36</c:v>
                </c:pt>
                <c:pt idx="1">
                  <c:v>19</c:v>
                </c:pt>
                <c:pt idx="2">
                  <c:v>25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3-4FB2-8677-F661F222E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282929"/>
        <c:axId val="60274107"/>
      </c:barChart>
      <c:catAx>
        <c:axId val="822829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Outcome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274107"/>
        <c:crosses val="autoZero"/>
        <c:auto val="1"/>
        <c:lblAlgn val="ctr"/>
        <c:lblOffset val="100"/>
        <c:noMultiLvlLbl val="0"/>
      </c:catAx>
      <c:valAx>
        <c:axId val="602741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Number of Trials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2829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Tilt of Grating across Trials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analysis!$D$1</c:f>
              <c:strCache>
                <c:ptCount val="1"/>
                <c:pt idx="0">
                  <c:v>tilt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analysis!$D$2:$D$101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4</c:v>
                </c:pt>
                <c:pt idx="14">
                  <c:v>-1</c:v>
                </c:pt>
                <c:pt idx="15">
                  <c:v>1</c:v>
                </c:pt>
                <c:pt idx="16">
                  <c:v>0</c:v>
                </c:pt>
                <c:pt idx="17">
                  <c:v>-5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-5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-3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-2</c:v>
                </c:pt>
                <c:pt idx="36">
                  <c:v>-4</c:v>
                </c:pt>
                <c:pt idx="37">
                  <c:v>-5</c:v>
                </c:pt>
                <c:pt idx="38">
                  <c:v>-5</c:v>
                </c:pt>
                <c:pt idx="39">
                  <c:v>0</c:v>
                </c:pt>
                <c:pt idx="40">
                  <c:v>-4</c:v>
                </c:pt>
                <c:pt idx="41">
                  <c:v>0</c:v>
                </c:pt>
                <c:pt idx="42">
                  <c:v>2</c:v>
                </c:pt>
                <c:pt idx="43">
                  <c:v>0</c:v>
                </c:pt>
                <c:pt idx="44">
                  <c:v>3</c:v>
                </c:pt>
                <c:pt idx="45">
                  <c:v>0</c:v>
                </c:pt>
                <c:pt idx="46">
                  <c:v>4</c:v>
                </c:pt>
                <c:pt idx="47">
                  <c:v>0</c:v>
                </c:pt>
                <c:pt idx="48">
                  <c:v>0</c:v>
                </c:pt>
                <c:pt idx="49">
                  <c:v>4</c:v>
                </c:pt>
                <c:pt idx="50">
                  <c:v>0</c:v>
                </c:pt>
                <c:pt idx="51">
                  <c:v>-3</c:v>
                </c:pt>
                <c:pt idx="52">
                  <c:v>0</c:v>
                </c:pt>
                <c:pt idx="53">
                  <c:v>4</c:v>
                </c:pt>
                <c:pt idx="54">
                  <c:v>4</c:v>
                </c:pt>
                <c:pt idx="55">
                  <c:v>0</c:v>
                </c:pt>
                <c:pt idx="56">
                  <c:v>-2</c:v>
                </c:pt>
                <c:pt idx="57">
                  <c:v>0</c:v>
                </c:pt>
                <c:pt idx="58">
                  <c:v>0</c:v>
                </c:pt>
                <c:pt idx="59">
                  <c:v>-3</c:v>
                </c:pt>
                <c:pt idx="60">
                  <c:v>3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-3</c:v>
                </c:pt>
                <c:pt idx="67">
                  <c:v>0</c:v>
                </c:pt>
                <c:pt idx="68">
                  <c:v>0</c:v>
                </c:pt>
                <c:pt idx="69">
                  <c:v>2</c:v>
                </c:pt>
                <c:pt idx="70">
                  <c:v>-4</c:v>
                </c:pt>
                <c:pt idx="71">
                  <c:v>-2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-2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-4</c:v>
                </c:pt>
                <c:pt idx="88">
                  <c:v>0</c:v>
                </c:pt>
                <c:pt idx="89">
                  <c:v>0</c:v>
                </c:pt>
                <c:pt idx="90">
                  <c:v>3</c:v>
                </c:pt>
                <c:pt idx="91">
                  <c:v>0</c:v>
                </c:pt>
                <c:pt idx="92">
                  <c:v>-1</c:v>
                </c:pt>
                <c:pt idx="93">
                  <c:v>3</c:v>
                </c:pt>
                <c:pt idx="94">
                  <c:v>-3</c:v>
                </c:pt>
                <c:pt idx="95">
                  <c:v>0</c:v>
                </c:pt>
                <c:pt idx="96">
                  <c:v>0</c:v>
                </c:pt>
                <c:pt idx="97">
                  <c:v>-5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BD-40B7-9D7F-68309389D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978600"/>
        <c:axId val="74469923"/>
      </c:lineChart>
      <c:catAx>
        <c:axId val="49786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Trial 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469923"/>
        <c:crosses val="autoZero"/>
        <c:auto val="1"/>
        <c:lblAlgn val="ctr"/>
        <c:lblOffset val="100"/>
        <c:noMultiLvlLbl val="0"/>
      </c:catAx>
      <c:valAx>
        <c:axId val="744699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Tilt (degrees)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786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Response Accuracy across Trials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</c:f>
              <c:strCache>
                <c:ptCount val="1"/>
                <c:pt idx="0">
                  <c:v>Correct (Hit or CR)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analysis!$I$2:$I$101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15-482A-B94A-34ABF537E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076977"/>
        <c:axId val="72442212"/>
      </c:lineChart>
      <c:catAx>
        <c:axId val="60769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Trial 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442212"/>
        <c:crosses val="autoZero"/>
        <c:auto val="1"/>
        <c:lblAlgn val="ctr"/>
        <c:lblOffset val="100"/>
        <c:noMultiLvlLbl val="0"/>
      </c:catAx>
      <c:valAx>
        <c:axId val="724422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Accuracy (1=Correct, 0=Incorrect)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769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20</xdr:col>
      <xdr:colOff>38520</xdr:colOff>
      <xdr:row>18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20</xdr:row>
      <xdr:rowOff>0</xdr:rowOff>
    </xdr:from>
    <xdr:to>
      <xdr:col>24</xdr:col>
      <xdr:colOff>472680</xdr:colOff>
      <xdr:row>35</xdr:row>
      <xdr:rowOff>21600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37</xdr:row>
      <xdr:rowOff>0</xdr:rowOff>
    </xdr:from>
    <xdr:to>
      <xdr:col>24</xdr:col>
      <xdr:colOff>473040</xdr:colOff>
      <xdr:row>52</xdr:row>
      <xdr:rowOff>21960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zoomScaleNormal="100" workbookViewId="0"/>
  </sheetViews>
  <sheetFormatPr defaultColWidth="8.6328125" defaultRowHeight="14.5" x14ac:dyDescent="0.35"/>
  <cols>
    <col min="1" max="2" width="16" customWidth="1"/>
    <col min="3" max="3" width="8" customWidth="1"/>
  </cols>
  <sheetData>
    <row r="1" spans="1:3" ht="15" customHeight="1" x14ac:dyDescent="0.35">
      <c r="A1" s="1" t="s">
        <v>0</v>
      </c>
      <c r="B1" s="1" t="s">
        <v>1</v>
      </c>
      <c r="C1" s="1" t="s">
        <v>2</v>
      </c>
    </row>
    <row r="2" spans="1:3" ht="15" customHeight="1" x14ac:dyDescent="0.35">
      <c r="A2" t="s">
        <v>3</v>
      </c>
      <c r="B2">
        <v>1</v>
      </c>
      <c r="C2">
        <v>0</v>
      </c>
    </row>
    <row r="3" spans="1:3" ht="15" customHeight="1" x14ac:dyDescent="0.35">
      <c r="A3" t="s">
        <v>3</v>
      </c>
      <c r="B3">
        <v>1</v>
      </c>
      <c r="C3">
        <v>0</v>
      </c>
    </row>
    <row r="4" spans="1:3" ht="15" customHeight="1" x14ac:dyDescent="0.35">
      <c r="A4" t="s">
        <v>4</v>
      </c>
      <c r="B4">
        <v>1</v>
      </c>
      <c r="C4">
        <v>2</v>
      </c>
    </row>
    <row r="5" spans="1:3" ht="15" customHeight="1" x14ac:dyDescent="0.35">
      <c r="A5" t="s">
        <v>4</v>
      </c>
      <c r="B5">
        <v>1</v>
      </c>
      <c r="C5">
        <v>-2</v>
      </c>
    </row>
    <row r="6" spans="1:3" ht="15" customHeight="1" x14ac:dyDescent="0.35">
      <c r="A6" t="s">
        <v>3</v>
      </c>
      <c r="B6">
        <v>1</v>
      </c>
      <c r="C6">
        <v>0</v>
      </c>
    </row>
    <row r="7" spans="1:3" ht="15" customHeight="1" x14ac:dyDescent="0.35">
      <c r="A7" t="s">
        <v>4</v>
      </c>
      <c r="B7">
        <v>0</v>
      </c>
      <c r="C7">
        <v>0</v>
      </c>
    </row>
    <row r="8" spans="1:3" ht="15" customHeight="1" x14ac:dyDescent="0.35">
      <c r="A8" t="s">
        <v>3</v>
      </c>
      <c r="B8">
        <v>1</v>
      </c>
      <c r="C8">
        <v>0</v>
      </c>
    </row>
    <row r="9" spans="1:3" ht="15" customHeight="1" x14ac:dyDescent="0.35">
      <c r="A9" t="s">
        <v>3</v>
      </c>
      <c r="B9">
        <v>1</v>
      </c>
      <c r="C9">
        <v>0</v>
      </c>
    </row>
    <row r="10" spans="1:3" ht="15" customHeight="1" x14ac:dyDescent="0.35">
      <c r="A10" t="s">
        <v>4</v>
      </c>
      <c r="B10">
        <v>0</v>
      </c>
      <c r="C10">
        <v>0</v>
      </c>
    </row>
    <row r="11" spans="1:3" ht="15" customHeight="1" x14ac:dyDescent="0.35">
      <c r="A11" t="s">
        <v>3</v>
      </c>
      <c r="B11">
        <v>0</v>
      </c>
      <c r="C11">
        <v>1</v>
      </c>
    </row>
    <row r="12" spans="1:3" ht="15" customHeight="1" x14ac:dyDescent="0.35">
      <c r="A12" t="s">
        <v>4</v>
      </c>
      <c r="B12">
        <v>0</v>
      </c>
      <c r="C12">
        <v>0</v>
      </c>
    </row>
    <row r="13" spans="1:3" ht="15" customHeight="1" x14ac:dyDescent="0.35">
      <c r="A13" t="s">
        <v>4</v>
      </c>
      <c r="B13">
        <v>0</v>
      </c>
      <c r="C13">
        <v>0</v>
      </c>
    </row>
    <row r="14" spans="1:3" ht="15" customHeight="1" x14ac:dyDescent="0.35">
      <c r="A14" t="s">
        <v>4</v>
      </c>
      <c r="B14">
        <v>1</v>
      </c>
      <c r="C14">
        <v>3</v>
      </c>
    </row>
    <row r="15" spans="1:3" ht="15" customHeight="1" x14ac:dyDescent="0.35">
      <c r="A15" t="s">
        <v>4</v>
      </c>
      <c r="B15">
        <v>1</v>
      </c>
      <c r="C15">
        <v>4</v>
      </c>
    </row>
    <row r="16" spans="1:3" ht="15" customHeight="1" x14ac:dyDescent="0.35">
      <c r="A16" t="s">
        <v>4</v>
      </c>
      <c r="B16">
        <v>1</v>
      </c>
      <c r="C16">
        <v>-1</v>
      </c>
    </row>
    <row r="17" spans="1:3" ht="15" customHeight="1" x14ac:dyDescent="0.35">
      <c r="A17" t="s">
        <v>4</v>
      </c>
      <c r="B17">
        <v>1</v>
      </c>
      <c r="C17">
        <v>1</v>
      </c>
    </row>
    <row r="18" spans="1:3" ht="15" customHeight="1" x14ac:dyDescent="0.35">
      <c r="A18" t="s">
        <v>4</v>
      </c>
      <c r="B18">
        <v>0</v>
      </c>
      <c r="C18">
        <v>0</v>
      </c>
    </row>
    <row r="19" spans="1:3" ht="15" customHeight="1" x14ac:dyDescent="0.35">
      <c r="A19" t="s">
        <v>4</v>
      </c>
      <c r="B19">
        <v>1</v>
      </c>
      <c r="C19">
        <v>-5</v>
      </c>
    </row>
    <row r="20" spans="1:3" ht="15" customHeight="1" x14ac:dyDescent="0.35">
      <c r="A20" t="s">
        <v>3</v>
      </c>
      <c r="B20">
        <v>0</v>
      </c>
      <c r="C20">
        <v>2</v>
      </c>
    </row>
    <row r="21" spans="1:3" ht="15" customHeight="1" x14ac:dyDescent="0.35">
      <c r="A21" t="s">
        <v>3</v>
      </c>
      <c r="B21">
        <v>0</v>
      </c>
      <c r="C21">
        <v>0</v>
      </c>
    </row>
    <row r="22" spans="1:3" ht="15" customHeight="1" x14ac:dyDescent="0.35">
      <c r="A22" t="s">
        <v>3</v>
      </c>
      <c r="B22">
        <v>0</v>
      </c>
      <c r="C22">
        <v>1</v>
      </c>
    </row>
    <row r="23" spans="1:3" ht="15" customHeight="1" x14ac:dyDescent="0.35">
      <c r="A23" t="s">
        <v>3</v>
      </c>
      <c r="B23">
        <v>1</v>
      </c>
      <c r="C23">
        <v>0</v>
      </c>
    </row>
    <row r="24" spans="1:3" ht="15" customHeight="1" x14ac:dyDescent="0.35">
      <c r="A24" t="s">
        <v>3</v>
      </c>
      <c r="B24">
        <v>0</v>
      </c>
      <c r="C24">
        <v>1</v>
      </c>
    </row>
    <row r="25" spans="1:3" ht="15" customHeight="1" x14ac:dyDescent="0.35">
      <c r="A25" t="s">
        <v>4</v>
      </c>
      <c r="B25">
        <v>1</v>
      </c>
      <c r="C25">
        <v>-5</v>
      </c>
    </row>
    <row r="26" spans="1:3" ht="15" customHeight="1" x14ac:dyDescent="0.35">
      <c r="A26" t="s">
        <v>3</v>
      </c>
      <c r="B26">
        <v>0</v>
      </c>
      <c r="C26">
        <v>3</v>
      </c>
    </row>
    <row r="27" spans="1:3" ht="15" customHeight="1" x14ac:dyDescent="0.35">
      <c r="A27" t="s">
        <v>4</v>
      </c>
      <c r="B27">
        <v>0</v>
      </c>
      <c r="C27">
        <v>0</v>
      </c>
    </row>
    <row r="28" spans="1:3" ht="15" customHeight="1" x14ac:dyDescent="0.35">
      <c r="A28" t="s">
        <v>4</v>
      </c>
      <c r="B28">
        <v>0</v>
      </c>
      <c r="C28">
        <v>0</v>
      </c>
    </row>
    <row r="29" spans="1:3" ht="15" customHeight="1" x14ac:dyDescent="0.35">
      <c r="A29" t="s">
        <v>4</v>
      </c>
      <c r="B29">
        <v>1</v>
      </c>
      <c r="C29">
        <v>-3</v>
      </c>
    </row>
    <row r="30" spans="1:3" ht="15" customHeight="1" x14ac:dyDescent="0.35">
      <c r="A30" t="s">
        <v>4</v>
      </c>
      <c r="B30">
        <v>1</v>
      </c>
      <c r="C30">
        <v>2</v>
      </c>
    </row>
    <row r="31" spans="1:3" ht="15" customHeight="1" x14ac:dyDescent="0.35">
      <c r="A31" t="s">
        <v>4</v>
      </c>
      <c r="B31">
        <v>0</v>
      </c>
      <c r="C31">
        <v>0</v>
      </c>
    </row>
    <row r="32" spans="1:3" ht="15" customHeight="1" x14ac:dyDescent="0.35">
      <c r="A32" t="s">
        <v>4</v>
      </c>
      <c r="B32">
        <v>0</v>
      </c>
      <c r="C32">
        <v>0</v>
      </c>
    </row>
    <row r="33" spans="1:3" ht="15" customHeight="1" x14ac:dyDescent="0.35">
      <c r="A33" t="s">
        <v>4</v>
      </c>
      <c r="B33">
        <v>1</v>
      </c>
      <c r="C33">
        <v>0</v>
      </c>
    </row>
    <row r="34" spans="1:3" ht="15" customHeight="1" x14ac:dyDescent="0.35">
      <c r="A34" t="s">
        <v>4</v>
      </c>
      <c r="B34">
        <v>1</v>
      </c>
      <c r="C34">
        <v>1</v>
      </c>
    </row>
    <row r="35" spans="1:3" ht="15" customHeight="1" x14ac:dyDescent="0.35">
      <c r="A35" t="s">
        <v>4</v>
      </c>
      <c r="B35">
        <v>0</v>
      </c>
      <c r="C35">
        <v>0</v>
      </c>
    </row>
    <row r="36" spans="1:3" ht="15" customHeight="1" x14ac:dyDescent="0.35">
      <c r="A36" t="s">
        <v>4</v>
      </c>
      <c r="B36">
        <v>0</v>
      </c>
      <c r="C36">
        <v>0</v>
      </c>
    </row>
    <row r="37" spans="1:3" ht="15" customHeight="1" x14ac:dyDescent="0.35">
      <c r="A37" t="s">
        <v>4</v>
      </c>
      <c r="B37">
        <v>1</v>
      </c>
      <c r="C37">
        <v>-2</v>
      </c>
    </row>
    <row r="38" spans="1:3" ht="15" customHeight="1" x14ac:dyDescent="0.35">
      <c r="A38" t="s">
        <v>4</v>
      </c>
      <c r="B38">
        <v>1</v>
      </c>
      <c r="C38">
        <v>-4</v>
      </c>
    </row>
    <row r="39" spans="1:3" ht="15" customHeight="1" x14ac:dyDescent="0.35">
      <c r="A39" t="s">
        <v>3</v>
      </c>
      <c r="B39">
        <v>0</v>
      </c>
      <c r="C39">
        <v>-5</v>
      </c>
    </row>
    <row r="40" spans="1:3" ht="15" customHeight="1" x14ac:dyDescent="0.35">
      <c r="A40" t="s">
        <v>3</v>
      </c>
      <c r="B40">
        <v>0</v>
      </c>
      <c r="C40">
        <v>-5</v>
      </c>
    </row>
    <row r="41" spans="1:3" ht="15" customHeight="1" x14ac:dyDescent="0.35">
      <c r="A41" t="s">
        <v>3</v>
      </c>
      <c r="B41">
        <v>1</v>
      </c>
      <c r="C41">
        <v>0</v>
      </c>
    </row>
    <row r="42" spans="1:3" ht="15" customHeight="1" x14ac:dyDescent="0.35">
      <c r="A42" t="s">
        <v>3</v>
      </c>
      <c r="B42">
        <v>0</v>
      </c>
      <c r="C42">
        <v>-4</v>
      </c>
    </row>
    <row r="43" spans="1:3" ht="15" customHeight="1" x14ac:dyDescent="0.35">
      <c r="A43" t="s">
        <v>3</v>
      </c>
      <c r="B43">
        <v>1</v>
      </c>
      <c r="C43">
        <v>0</v>
      </c>
    </row>
    <row r="44" spans="1:3" ht="15" customHeight="1" x14ac:dyDescent="0.35">
      <c r="A44" t="s">
        <v>3</v>
      </c>
      <c r="B44">
        <v>0</v>
      </c>
      <c r="C44">
        <v>2</v>
      </c>
    </row>
    <row r="45" spans="1:3" ht="15" customHeight="1" x14ac:dyDescent="0.35">
      <c r="A45" t="s">
        <v>3</v>
      </c>
      <c r="B45">
        <v>1</v>
      </c>
      <c r="C45">
        <v>0</v>
      </c>
    </row>
    <row r="46" spans="1:3" ht="15" customHeight="1" x14ac:dyDescent="0.35">
      <c r="A46" t="s">
        <v>3</v>
      </c>
      <c r="B46">
        <v>0</v>
      </c>
      <c r="C46">
        <v>3</v>
      </c>
    </row>
    <row r="47" spans="1:3" ht="15" customHeight="1" x14ac:dyDescent="0.35">
      <c r="A47" t="s">
        <v>3</v>
      </c>
      <c r="B47">
        <v>1</v>
      </c>
      <c r="C47">
        <v>0</v>
      </c>
    </row>
    <row r="48" spans="1:3" ht="15" customHeight="1" x14ac:dyDescent="0.35">
      <c r="A48" t="s">
        <v>4</v>
      </c>
      <c r="B48">
        <v>1</v>
      </c>
      <c r="C48">
        <v>4</v>
      </c>
    </row>
    <row r="49" spans="1:3" ht="15" customHeight="1" x14ac:dyDescent="0.35">
      <c r="A49" t="s">
        <v>3</v>
      </c>
      <c r="B49">
        <v>1</v>
      </c>
      <c r="C49">
        <v>0</v>
      </c>
    </row>
    <row r="50" spans="1:3" ht="15" customHeight="1" x14ac:dyDescent="0.35">
      <c r="A50" t="s">
        <v>4</v>
      </c>
      <c r="B50">
        <v>0</v>
      </c>
      <c r="C50">
        <v>0</v>
      </c>
    </row>
    <row r="51" spans="1:3" ht="15" customHeight="1" x14ac:dyDescent="0.35">
      <c r="A51" t="s">
        <v>3</v>
      </c>
      <c r="B51">
        <v>0</v>
      </c>
      <c r="C51">
        <v>4</v>
      </c>
    </row>
    <row r="52" spans="1:3" ht="15" customHeight="1" x14ac:dyDescent="0.35">
      <c r="A52" t="s">
        <v>3</v>
      </c>
      <c r="B52">
        <v>1</v>
      </c>
      <c r="C52">
        <v>0</v>
      </c>
    </row>
    <row r="53" spans="1:3" ht="15" customHeight="1" x14ac:dyDescent="0.35">
      <c r="A53" t="s">
        <v>4</v>
      </c>
      <c r="B53">
        <v>1</v>
      </c>
      <c r="C53">
        <v>-3</v>
      </c>
    </row>
    <row r="54" spans="1:3" ht="15" customHeight="1" x14ac:dyDescent="0.35">
      <c r="A54" t="s">
        <v>3</v>
      </c>
      <c r="B54">
        <v>1</v>
      </c>
      <c r="C54">
        <v>0</v>
      </c>
    </row>
    <row r="55" spans="1:3" ht="15" customHeight="1" x14ac:dyDescent="0.35">
      <c r="A55" t="s">
        <v>4</v>
      </c>
      <c r="B55">
        <v>1</v>
      </c>
      <c r="C55">
        <v>4</v>
      </c>
    </row>
    <row r="56" spans="1:3" ht="15" customHeight="1" x14ac:dyDescent="0.35">
      <c r="A56" t="s">
        <v>3</v>
      </c>
      <c r="B56">
        <v>0</v>
      </c>
      <c r="C56">
        <v>4</v>
      </c>
    </row>
    <row r="57" spans="1:3" ht="15" customHeight="1" x14ac:dyDescent="0.35">
      <c r="A57" t="s">
        <v>4</v>
      </c>
      <c r="B57">
        <v>0</v>
      </c>
      <c r="C57">
        <v>0</v>
      </c>
    </row>
    <row r="58" spans="1:3" ht="15" customHeight="1" x14ac:dyDescent="0.35">
      <c r="A58" t="s">
        <v>3</v>
      </c>
      <c r="B58">
        <v>0</v>
      </c>
      <c r="C58">
        <v>-2</v>
      </c>
    </row>
    <row r="59" spans="1:3" ht="15" customHeight="1" x14ac:dyDescent="0.35">
      <c r="A59" t="s">
        <v>3</v>
      </c>
      <c r="B59">
        <v>0</v>
      </c>
      <c r="C59">
        <v>0</v>
      </c>
    </row>
    <row r="60" spans="1:3" ht="15" customHeight="1" x14ac:dyDescent="0.35">
      <c r="A60" t="s">
        <v>3</v>
      </c>
      <c r="B60">
        <v>1</v>
      </c>
      <c r="C60">
        <v>0</v>
      </c>
    </row>
    <row r="61" spans="1:3" ht="15" customHeight="1" x14ac:dyDescent="0.35">
      <c r="A61" t="s">
        <v>3</v>
      </c>
      <c r="B61">
        <v>0</v>
      </c>
      <c r="C61">
        <v>-3</v>
      </c>
    </row>
    <row r="62" spans="1:3" ht="15" customHeight="1" x14ac:dyDescent="0.35">
      <c r="A62" t="s">
        <v>3</v>
      </c>
      <c r="B62">
        <v>0</v>
      </c>
      <c r="C62">
        <v>3</v>
      </c>
    </row>
    <row r="63" spans="1:3" ht="15" customHeight="1" x14ac:dyDescent="0.35">
      <c r="A63" t="s">
        <v>4</v>
      </c>
      <c r="B63">
        <v>1</v>
      </c>
      <c r="C63">
        <v>-1</v>
      </c>
    </row>
    <row r="64" spans="1:3" ht="15" customHeight="1" x14ac:dyDescent="0.35">
      <c r="A64" t="s">
        <v>3</v>
      </c>
      <c r="B64">
        <v>1</v>
      </c>
      <c r="C64">
        <v>0</v>
      </c>
    </row>
    <row r="65" spans="1:3" ht="15" customHeight="1" x14ac:dyDescent="0.35">
      <c r="A65" t="s">
        <v>3</v>
      </c>
      <c r="B65">
        <v>1</v>
      </c>
      <c r="C65">
        <v>0</v>
      </c>
    </row>
    <row r="66" spans="1:3" ht="15" customHeight="1" x14ac:dyDescent="0.35">
      <c r="A66" t="s">
        <v>3</v>
      </c>
      <c r="B66">
        <v>0</v>
      </c>
      <c r="C66">
        <v>1</v>
      </c>
    </row>
    <row r="67" spans="1:3" ht="15" customHeight="1" x14ac:dyDescent="0.35">
      <c r="A67" t="s">
        <v>3</v>
      </c>
      <c r="B67">
        <v>1</v>
      </c>
      <c r="C67">
        <v>0</v>
      </c>
    </row>
    <row r="68" spans="1:3" ht="15" customHeight="1" x14ac:dyDescent="0.35">
      <c r="A68" t="s">
        <v>3</v>
      </c>
      <c r="B68">
        <v>0</v>
      </c>
      <c r="C68">
        <v>-3</v>
      </c>
    </row>
    <row r="69" spans="1:3" ht="15" customHeight="1" x14ac:dyDescent="0.35">
      <c r="A69" t="s">
        <v>3</v>
      </c>
      <c r="B69">
        <v>1</v>
      </c>
      <c r="C69">
        <v>0</v>
      </c>
    </row>
    <row r="70" spans="1:3" ht="15" customHeight="1" x14ac:dyDescent="0.35">
      <c r="A70" t="s">
        <v>3</v>
      </c>
      <c r="B70">
        <v>1</v>
      </c>
      <c r="C70">
        <v>0</v>
      </c>
    </row>
    <row r="71" spans="1:3" ht="15" customHeight="1" x14ac:dyDescent="0.35">
      <c r="A71" t="s">
        <v>3</v>
      </c>
      <c r="B71">
        <v>0</v>
      </c>
      <c r="C71">
        <v>2</v>
      </c>
    </row>
    <row r="72" spans="1:3" ht="15" customHeight="1" x14ac:dyDescent="0.35">
      <c r="A72" t="s">
        <v>4</v>
      </c>
      <c r="B72">
        <v>1</v>
      </c>
      <c r="C72">
        <v>-4</v>
      </c>
    </row>
    <row r="73" spans="1:3" ht="15" customHeight="1" x14ac:dyDescent="0.35">
      <c r="A73" t="s">
        <v>3</v>
      </c>
      <c r="B73">
        <v>0</v>
      </c>
      <c r="C73">
        <v>-2</v>
      </c>
    </row>
    <row r="74" spans="1:3" ht="15" customHeight="1" x14ac:dyDescent="0.35">
      <c r="A74" t="s">
        <v>4</v>
      </c>
      <c r="B74">
        <v>1</v>
      </c>
      <c r="C74">
        <v>0</v>
      </c>
    </row>
    <row r="75" spans="1:3" ht="15" customHeight="1" x14ac:dyDescent="0.35">
      <c r="A75" t="s">
        <v>3</v>
      </c>
      <c r="B75">
        <v>1</v>
      </c>
      <c r="C75">
        <v>0</v>
      </c>
    </row>
    <row r="76" spans="1:3" ht="15" customHeight="1" x14ac:dyDescent="0.35">
      <c r="A76" t="s">
        <v>3</v>
      </c>
      <c r="B76">
        <v>1</v>
      </c>
      <c r="C76">
        <v>0</v>
      </c>
    </row>
    <row r="77" spans="1:3" ht="15" customHeight="1" x14ac:dyDescent="0.35">
      <c r="A77" t="s">
        <v>3</v>
      </c>
      <c r="B77">
        <v>0</v>
      </c>
      <c r="C77">
        <v>0</v>
      </c>
    </row>
    <row r="78" spans="1:3" ht="15" customHeight="1" x14ac:dyDescent="0.35">
      <c r="A78" t="s">
        <v>3</v>
      </c>
      <c r="B78">
        <v>1</v>
      </c>
      <c r="C78">
        <v>0</v>
      </c>
    </row>
    <row r="79" spans="1:3" ht="15" customHeight="1" x14ac:dyDescent="0.35">
      <c r="A79" t="s">
        <v>3</v>
      </c>
      <c r="B79">
        <v>1</v>
      </c>
      <c r="C79">
        <v>0</v>
      </c>
    </row>
    <row r="80" spans="1:3" ht="15" customHeight="1" x14ac:dyDescent="0.35">
      <c r="A80" t="s">
        <v>3</v>
      </c>
      <c r="B80">
        <v>1</v>
      </c>
      <c r="C80">
        <v>0</v>
      </c>
    </row>
    <row r="81" spans="1:3" ht="15" customHeight="1" x14ac:dyDescent="0.35">
      <c r="A81" t="s">
        <v>3</v>
      </c>
      <c r="B81">
        <v>1</v>
      </c>
      <c r="C81">
        <v>0</v>
      </c>
    </row>
    <row r="82" spans="1:3" ht="15" customHeight="1" x14ac:dyDescent="0.35">
      <c r="A82" t="s">
        <v>3</v>
      </c>
      <c r="B82">
        <v>1</v>
      </c>
      <c r="C82">
        <v>0</v>
      </c>
    </row>
    <row r="83" spans="1:3" ht="15" customHeight="1" x14ac:dyDescent="0.35">
      <c r="A83" t="s">
        <v>3</v>
      </c>
      <c r="B83">
        <v>0</v>
      </c>
      <c r="C83">
        <v>-2</v>
      </c>
    </row>
    <row r="84" spans="1:3" ht="15" customHeight="1" x14ac:dyDescent="0.35">
      <c r="A84" t="s">
        <v>3</v>
      </c>
      <c r="B84">
        <v>1</v>
      </c>
      <c r="C84">
        <v>0</v>
      </c>
    </row>
    <row r="85" spans="1:3" ht="15" customHeight="1" x14ac:dyDescent="0.35">
      <c r="A85" t="s">
        <v>3</v>
      </c>
      <c r="B85">
        <v>0</v>
      </c>
      <c r="C85">
        <v>1</v>
      </c>
    </row>
    <row r="86" spans="1:3" ht="15" customHeight="1" x14ac:dyDescent="0.35">
      <c r="A86" t="s">
        <v>3</v>
      </c>
      <c r="B86">
        <v>1</v>
      </c>
      <c r="C86">
        <v>0</v>
      </c>
    </row>
    <row r="87" spans="1:3" ht="15" customHeight="1" x14ac:dyDescent="0.35">
      <c r="A87" t="s">
        <v>3</v>
      </c>
      <c r="B87">
        <v>0</v>
      </c>
      <c r="C87">
        <v>0</v>
      </c>
    </row>
    <row r="88" spans="1:3" ht="15" customHeight="1" x14ac:dyDescent="0.35">
      <c r="A88" t="s">
        <v>4</v>
      </c>
      <c r="B88">
        <v>0</v>
      </c>
      <c r="C88">
        <v>0</v>
      </c>
    </row>
    <row r="89" spans="1:3" ht="15" customHeight="1" x14ac:dyDescent="0.35">
      <c r="A89" t="s">
        <v>4</v>
      </c>
      <c r="B89">
        <v>1</v>
      </c>
      <c r="C89">
        <v>-4</v>
      </c>
    </row>
    <row r="90" spans="1:3" ht="15" customHeight="1" x14ac:dyDescent="0.35">
      <c r="A90" t="s">
        <v>4</v>
      </c>
      <c r="B90">
        <v>0</v>
      </c>
      <c r="C90">
        <v>0</v>
      </c>
    </row>
    <row r="91" spans="1:3" ht="15" customHeight="1" x14ac:dyDescent="0.35">
      <c r="A91" t="s">
        <v>4</v>
      </c>
      <c r="B91">
        <v>0</v>
      </c>
      <c r="C91">
        <v>0</v>
      </c>
    </row>
    <row r="92" spans="1:3" ht="15" customHeight="1" x14ac:dyDescent="0.35">
      <c r="A92" t="s">
        <v>3</v>
      </c>
      <c r="B92">
        <v>0</v>
      </c>
      <c r="C92">
        <v>3</v>
      </c>
    </row>
    <row r="93" spans="1:3" ht="15" customHeight="1" x14ac:dyDescent="0.35">
      <c r="A93" t="s">
        <v>3</v>
      </c>
      <c r="B93">
        <v>1</v>
      </c>
      <c r="C93">
        <v>0</v>
      </c>
    </row>
    <row r="94" spans="1:3" ht="15" customHeight="1" x14ac:dyDescent="0.35">
      <c r="A94" t="s">
        <v>3</v>
      </c>
      <c r="B94">
        <v>0</v>
      </c>
      <c r="C94">
        <v>-1</v>
      </c>
    </row>
    <row r="95" spans="1:3" ht="15" customHeight="1" x14ac:dyDescent="0.35">
      <c r="A95" t="s">
        <v>3</v>
      </c>
      <c r="B95">
        <v>0</v>
      </c>
      <c r="C95">
        <v>3</v>
      </c>
    </row>
    <row r="96" spans="1:3" ht="15" customHeight="1" x14ac:dyDescent="0.35">
      <c r="A96" t="s">
        <v>4</v>
      </c>
      <c r="B96">
        <v>1</v>
      </c>
      <c r="C96">
        <v>-3</v>
      </c>
    </row>
    <row r="97" spans="1:3" ht="15" customHeight="1" x14ac:dyDescent="0.35">
      <c r="A97" t="s">
        <v>4</v>
      </c>
      <c r="B97">
        <v>1</v>
      </c>
      <c r="C97">
        <v>0</v>
      </c>
    </row>
    <row r="98" spans="1:3" ht="15" customHeight="1" x14ac:dyDescent="0.35">
      <c r="A98" t="s">
        <v>3</v>
      </c>
      <c r="B98">
        <v>1</v>
      </c>
      <c r="C98">
        <v>0</v>
      </c>
    </row>
    <row r="99" spans="1:3" ht="15" customHeight="1" x14ac:dyDescent="0.35">
      <c r="A99" t="s">
        <v>3</v>
      </c>
      <c r="B99">
        <v>0</v>
      </c>
      <c r="C99">
        <v>-5</v>
      </c>
    </row>
    <row r="100" spans="1:3" ht="15" customHeight="1" x14ac:dyDescent="0.35">
      <c r="A100" t="s">
        <v>3</v>
      </c>
      <c r="B100">
        <v>1</v>
      </c>
      <c r="C100">
        <v>0</v>
      </c>
    </row>
    <row r="101" spans="1:3" ht="15" customHeight="1" x14ac:dyDescent="0.35">
      <c r="A101" t="s">
        <v>3</v>
      </c>
      <c r="B101">
        <v>1</v>
      </c>
      <c r="C101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tabSelected="1" zoomScaleNormal="100" workbookViewId="0"/>
  </sheetViews>
  <sheetFormatPr defaultColWidth="8.6328125" defaultRowHeight="14.5" x14ac:dyDescent="0.35"/>
  <cols>
    <col min="1" max="1" width="7" customWidth="1"/>
    <col min="2" max="3" width="15" customWidth="1"/>
    <col min="4" max="4" width="7" customWidth="1"/>
    <col min="5" max="5" width="6" customWidth="1"/>
    <col min="6" max="6" width="7" customWidth="1"/>
    <col min="7" max="7" width="12" customWidth="1"/>
    <col min="8" max="8" width="16" customWidth="1"/>
    <col min="9" max="9" width="18" customWidth="1"/>
    <col min="10" max="10" width="30" customWidth="1"/>
    <col min="11" max="12" width="14" customWidth="1"/>
  </cols>
  <sheetData>
    <row r="1" spans="1:12" ht="15" customHeight="1" x14ac:dyDescent="0.35">
      <c r="A1" s="1" t="s">
        <v>5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7</v>
      </c>
      <c r="G1" s="1" t="s">
        <v>8</v>
      </c>
      <c r="H1" s="1" t="s">
        <v>9</v>
      </c>
      <c r="I1" t="s">
        <v>10</v>
      </c>
      <c r="J1" s="1" t="s">
        <v>11</v>
      </c>
    </row>
    <row r="2" spans="1:12" ht="15" customHeight="1" x14ac:dyDescent="0.35">
      <c r="A2">
        <f t="shared" ref="A2:A33" si="0">ROW()-1</f>
        <v>1</v>
      </c>
      <c r="B2" t="str">
        <f>raw_data!A2</f>
        <v>up</v>
      </c>
      <c r="C2">
        <f>raw_data!B2</f>
        <v>1</v>
      </c>
      <c r="D2">
        <f>raw_data!C2</f>
        <v>0</v>
      </c>
      <c r="E2">
        <f t="shared" ref="E2:E33" si="1">IF(AND(D2=0,B2="up"),1,0)</f>
        <v>1</v>
      </c>
      <c r="F2">
        <f t="shared" ref="F2:F33" si="2">IF(AND(D2=0,B2="down"),1,0)</f>
        <v>0</v>
      </c>
      <c r="G2">
        <f t="shared" ref="G2:G33" si="3">IF(AND(D2&lt;&gt;0,B2="up"),1,0)</f>
        <v>0</v>
      </c>
      <c r="H2">
        <f t="shared" ref="H2:H33" si="4">IF(AND(D2&lt;&gt;0,B2="down"),1,0)</f>
        <v>0</v>
      </c>
      <c r="I2">
        <f t="shared" ref="I2:I33" si="5">E2+H2</f>
        <v>1</v>
      </c>
    </row>
    <row r="3" spans="1:12" ht="15" customHeight="1" x14ac:dyDescent="0.35">
      <c r="A3">
        <f t="shared" si="0"/>
        <v>2</v>
      </c>
      <c r="B3" t="str">
        <f>raw_data!A3</f>
        <v>up</v>
      </c>
      <c r="C3">
        <f>raw_data!B3</f>
        <v>1</v>
      </c>
      <c r="D3">
        <f>raw_data!C3</f>
        <v>0</v>
      </c>
      <c r="E3">
        <f t="shared" si="1"/>
        <v>1</v>
      </c>
      <c r="F3">
        <f t="shared" si="2"/>
        <v>0</v>
      </c>
      <c r="G3">
        <f t="shared" si="3"/>
        <v>0</v>
      </c>
      <c r="H3">
        <f t="shared" si="4"/>
        <v>0</v>
      </c>
      <c r="I3">
        <f t="shared" si="5"/>
        <v>1</v>
      </c>
      <c r="K3" s="1" t="s">
        <v>12</v>
      </c>
      <c r="L3" s="1" t="s">
        <v>13</v>
      </c>
    </row>
    <row r="4" spans="1:12" ht="15" customHeight="1" x14ac:dyDescent="0.35">
      <c r="A4">
        <f t="shared" si="0"/>
        <v>3</v>
      </c>
      <c r="B4" t="str">
        <f>raw_data!A4</f>
        <v>down</v>
      </c>
      <c r="C4">
        <f>raw_data!B4</f>
        <v>1</v>
      </c>
      <c r="D4">
        <f>raw_data!C4</f>
        <v>2</v>
      </c>
      <c r="E4">
        <f t="shared" si="1"/>
        <v>0</v>
      </c>
      <c r="F4">
        <f t="shared" si="2"/>
        <v>0</v>
      </c>
      <c r="G4">
        <f t="shared" si="3"/>
        <v>0</v>
      </c>
      <c r="H4">
        <f t="shared" si="4"/>
        <v>1</v>
      </c>
      <c r="I4">
        <f t="shared" si="5"/>
        <v>1</v>
      </c>
      <c r="J4" s="2" t="s">
        <v>14</v>
      </c>
      <c r="K4">
        <f>SUM(E2:E101)</f>
        <v>36</v>
      </c>
      <c r="L4">
        <f>SUM(F2:F101)</f>
        <v>19</v>
      </c>
    </row>
    <row r="5" spans="1:12" ht="15" customHeight="1" x14ac:dyDescent="0.35">
      <c r="A5">
        <f t="shared" si="0"/>
        <v>4</v>
      </c>
      <c r="B5" t="str">
        <f>raw_data!A5</f>
        <v>down</v>
      </c>
      <c r="C5">
        <f>raw_data!B5</f>
        <v>1</v>
      </c>
      <c r="D5">
        <f>raw_data!C5</f>
        <v>-2</v>
      </c>
      <c r="E5">
        <f t="shared" si="1"/>
        <v>0</v>
      </c>
      <c r="F5">
        <f t="shared" si="2"/>
        <v>0</v>
      </c>
      <c r="G5">
        <f t="shared" si="3"/>
        <v>0</v>
      </c>
      <c r="H5">
        <f t="shared" si="4"/>
        <v>1</v>
      </c>
      <c r="I5">
        <f t="shared" si="5"/>
        <v>1</v>
      </c>
      <c r="J5" s="2" t="s">
        <v>15</v>
      </c>
      <c r="K5">
        <f>SUM(G2:G101)</f>
        <v>25</v>
      </c>
      <c r="L5">
        <f>SUM(H2:H101)</f>
        <v>20</v>
      </c>
    </row>
    <row r="6" spans="1:12" ht="15" customHeight="1" x14ac:dyDescent="0.35">
      <c r="A6">
        <f t="shared" si="0"/>
        <v>5</v>
      </c>
      <c r="B6" t="str">
        <f>raw_data!A6</f>
        <v>up</v>
      </c>
      <c r="C6">
        <f>raw_data!B6</f>
        <v>1</v>
      </c>
      <c r="D6">
        <f>raw_data!C6</f>
        <v>0</v>
      </c>
      <c r="E6">
        <f t="shared" si="1"/>
        <v>1</v>
      </c>
      <c r="F6">
        <f t="shared" si="2"/>
        <v>0</v>
      </c>
      <c r="G6">
        <f t="shared" si="3"/>
        <v>0</v>
      </c>
      <c r="H6">
        <f t="shared" si="4"/>
        <v>0</v>
      </c>
      <c r="I6">
        <f t="shared" si="5"/>
        <v>1</v>
      </c>
    </row>
    <row r="7" spans="1:12" ht="15" customHeight="1" x14ac:dyDescent="0.35">
      <c r="A7">
        <f t="shared" si="0"/>
        <v>6</v>
      </c>
      <c r="B7" t="str">
        <f>raw_data!A7</f>
        <v>down</v>
      </c>
      <c r="C7">
        <f>raw_data!B7</f>
        <v>0</v>
      </c>
      <c r="D7">
        <f>raw_data!C7</f>
        <v>0</v>
      </c>
      <c r="E7">
        <f t="shared" si="1"/>
        <v>0</v>
      </c>
      <c r="F7">
        <f t="shared" si="2"/>
        <v>1</v>
      </c>
      <c r="G7">
        <f t="shared" si="3"/>
        <v>0</v>
      </c>
      <c r="H7">
        <f t="shared" si="4"/>
        <v>0</v>
      </c>
      <c r="I7">
        <f t="shared" si="5"/>
        <v>0</v>
      </c>
      <c r="J7" s="1" t="s">
        <v>6</v>
      </c>
      <c r="K7">
        <f>K4</f>
        <v>36</v>
      </c>
    </row>
    <row r="8" spans="1:12" ht="15" customHeight="1" x14ac:dyDescent="0.35">
      <c r="A8">
        <f t="shared" si="0"/>
        <v>7</v>
      </c>
      <c r="B8" t="str">
        <f>raw_data!A8</f>
        <v>up</v>
      </c>
      <c r="C8">
        <f>raw_data!B8</f>
        <v>1</v>
      </c>
      <c r="D8">
        <f>raw_data!C8</f>
        <v>0</v>
      </c>
      <c r="E8">
        <f t="shared" si="1"/>
        <v>1</v>
      </c>
      <c r="F8">
        <f t="shared" si="2"/>
        <v>0</v>
      </c>
      <c r="G8">
        <f t="shared" si="3"/>
        <v>0</v>
      </c>
      <c r="H8">
        <f t="shared" si="4"/>
        <v>0</v>
      </c>
      <c r="I8">
        <f t="shared" si="5"/>
        <v>1</v>
      </c>
      <c r="J8" s="1" t="s">
        <v>7</v>
      </c>
      <c r="K8">
        <f>L4</f>
        <v>19</v>
      </c>
    </row>
    <row r="9" spans="1:12" ht="15" customHeight="1" x14ac:dyDescent="0.35">
      <c r="A9">
        <f t="shared" si="0"/>
        <v>8</v>
      </c>
      <c r="B9" t="str">
        <f>raw_data!A9</f>
        <v>up</v>
      </c>
      <c r="C9">
        <f>raw_data!B9</f>
        <v>1</v>
      </c>
      <c r="D9">
        <f>raw_data!C9</f>
        <v>0</v>
      </c>
      <c r="E9">
        <f t="shared" si="1"/>
        <v>1</v>
      </c>
      <c r="F9">
        <f t="shared" si="2"/>
        <v>0</v>
      </c>
      <c r="G9">
        <f t="shared" si="3"/>
        <v>0</v>
      </c>
      <c r="H9">
        <f t="shared" si="4"/>
        <v>0</v>
      </c>
      <c r="I9">
        <f t="shared" si="5"/>
        <v>1</v>
      </c>
      <c r="J9" s="1" t="s">
        <v>8</v>
      </c>
      <c r="K9">
        <f>K5</f>
        <v>25</v>
      </c>
    </row>
    <row r="10" spans="1:12" ht="15" customHeight="1" x14ac:dyDescent="0.35">
      <c r="A10">
        <f t="shared" si="0"/>
        <v>9</v>
      </c>
      <c r="B10" t="str">
        <f>raw_data!A10</f>
        <v>down</v>
      </c>
      <c r="C10">
        <f>raw_data!B10</f>
        <v>0</v>
      </c>
      <c r="D10">
        <f>raw_data!C10</f>
        <v>0</v>
      </c>
      <c r="E10">
        <f t="shared" si="1"/>
        <v>0</v>
      </c>
      <c r="F10">
        <f t="shared" si="2"/>
        <v>1</v>
      </c>
      <c r="G10">
        <f t="shared" si="3"/>
        <v>0</v>
      </c>
      <c r="H10">
        <f t="shared" si="4"/>
        <v>0</v>
      </c>
      <c r="I10">
        <f t="shared" si="5"/>
        <v>0</v>
      </c>
      <c r="J10" s="1" t="s">
        <v>9</v>
      </c>
      <c r="K10">
        <f>L5</f>
        <v>20</v>
      </c>
    </row>
    <row r="11" spans="1:12" ht="15" customHeight="1" x14ac:dyDescent="0.35">
      <c r="A11">
        <f t="shared" si="0"/>
        <v>10</v>
      </c>
      <c r="B11" t="str">
        <f>raw_data!A11</f>
        <v>up</v>
      </c>
      <c r="C11">
        <f>raw_data!B11</f>
        <v>0</v>
      </c>
      <c r="D11">
        <f>raw_data!C11</f>
        <v>1</v>
      </c>
      <c r="E11">
        <f t="shared" si="1"/>
        <v>0</v>
      </c>
      <c r="F11">
        <f t="shared" si="2"/>
        <v>0</v>
      </c>
      <c r="G11">
        <f t="shared" si="3"/>
        <v>1</v>
      </c>
      <c r="H11">
        <f t="shared" si="4"/>
        <v>0</v>
      </c>
      <c r="I11">
        <f t="shared" si="5"/>
        <v>0</v>
      </c>
    </row>
    <row r="12" spans="1:12" ht="15" customHeight="1" x14ac:dyDescent="0.35">
      <c r="A12">
        <f t="shared" si="0"/>
        <v>11</v>
      </c>
      <c r="B12" t="str">
        <f>raw_data!A12</f>
        <v>down</v>
      </c>
      <c r="C12">
        <f>raw_data!B12</f>
        <v>0</v>
      </c>
      <c r="D12">
        <f>raw_data!C12</f>
        <v>0</v>
      </c>
      <c r="E12">
        <f t="shared" si="1"/>
        <v>0</v>
      </c>
      <c r="F12">
        <f t="shared" si="2"/>
        <v>1</v>
      </c>
      <c r="G12">
        <f t="shared" si="3"/>
        <v>0</v>
      </c>
      <c r="H12">
        <f t="shared" si="4"/>
        <v>0</v>
      </c>
      <c r="I12">
        <f t="shared" si="5"/>
        <v>0</v>
      </c>
      <c r="J12" t="s">
        <v>16</v>
      </c>
      <c r="K12">
        <f>K7+K9</f>
        <v>61</v>
      </c>
    </row>
    <row r="13" spans="1:12" ht="15" customHeight="1" x14ac:dyDescent="0.35">
      <c r="A13">
        <f t="shared" si="0"/>
        <v>12</v>
      </c>
      <c r="B13" t="str">
        <f>raw_data!A13</f>
        <v>down</v>
      </c>
      <c r="C13">
        <f>raw_data!B13</f>
        <v>0</v>
      </c>
      <c r="D13">
        <f>raw_data!C13</f>
        <v>0</v>
      </c>
      <c r="E13">
        <f t="shared" si="1"/>
        <v>0</v>
      </c>
      <c r="F13">
        <f t="shared" si="2"/>
        <v>1</v>
      </c>
      <c r="G13">
        <f t="shared" si="3"/>
        <v>0</v>
      </c>
      <c r="H13">
        <f t="shared" si="4"/>
        <v>0</v>
      </c>
      <c r="I13">
        <f t="shared" si="5"/>
        <v>0</v>
      </c>
      <c r="J13" t="s">
        <v>17</v>
      </c>
      <c r="K13">
        <f>K8+K10</f>
        <v>39</v>
      </c>
    </row>
    <row r="14" spans="1:12" ht="15" customHeight="1" x14ac:dyDescent="0.35">
      <c r="A14">
        <f t="shared" si="0"/>
        <v>13</v>
      </c>
      <c r="B14" t="str">
        <f>raw_data!A14</f>
        <v>down</v>
      </c>
      <c r="C14">
        <f>raw_data!B14</f>
        <v>1</v>
      </c>
      <c r="D14">
        <f>raw_data!C14</f>
        <v>3</v>
      </c>
      <c r="E14">
        <f t="shared" si="1"/>
        <v>0</v>
      </c>
      <c r="F14">
        <f t="shared" si="2"/>
        <v>0</v>
      </c>
      <c r="G14">
        <f t="shared" si="3"/>
        <v>0</v>
      </c>
      <c r="H14">
        <f t="shared" si="4"/>
        <v>1</v>
      </c>
      <c r="I14">
        <f t="shared" si="5"/>
        <v>1</v>
      </c>
    </row>
    <row r="15" spans="1:12" ht="15" customHeight="1" x14ac:dyDescent="0.35">
      <c r="A15">
        <f t="shared" si="0"/>
        <v>14</v>
      </c>
      <c r="B15" t="str">
        <f>raw_data!A15</f>
        <v>down</v>
      </c>
      <c r="C15">
        <f>raw_data!B15</f>
        <v>1</v>
      </c>
      <c r="D15">
        <f>raw_data!C15</f>
        <v>4</v>
      </c>
      <c r="E15">
        <f t="shared" si="1"/>
        <v>0</v>
      </c>
      <c r="F15">
        <f t="shared" si="2"/>
        <v>0</v>
      </c>
      <c r="G15">
        <f t="shared" si="3"/>
        <v>0</v>
      </c>
      <c r="H15">
        <f t="shared" si="4"/>
        <v>1</v>
      </c>
      <c r="I15">
        <f t="shared" si="5"/>
        <v>1</v>
      </c>
      <c r="J15" t="s">
        <v>18</v>
      </c>
      <c r="K15">
        <f>K7/(K7+K8)</f>
        <v>0.65454545454545454</v>
      </c>
    </row>
    <row r="16" spans="1:12" ht="15" customHeight="1" x14ac:dyDescent="0.35">
      <c r="A16">
        <f t="shared" si="0"/>
        <v>15</v>
      </c>
      <c r="B16" t="str">
        <f>raw_data!A16</f>
        <v>down</v>
      </c>
      <c r="C16">
        <f>raw_data!B16</f>
        <v>1</v>
      </c>
      <c r="D16">
        <f>raw_data!C16</f>
        <v>-1</v>
      </c>
      <c r="E16">
        <f t="shared" si="1"/>
        <v>0</v>
      </c>
      <c r="F16">
        <f t="shared" si="2"/>
        <v>0</v>
      </c>
      <c r="G16">
        <f t="shared" si="3"/>
        <v>0</v>
      </c>
      <c r="H16">
        <f t="shared" si="4"/>
        <v>1</v>
      </c>
      <c r="I16">
        <f t="shared" si="5"/>
        <v>1</v>
      </c>
      <c r="J16" t="s">
        <v>19</v>
      </c>
      <c r="K16">
        <f>K9/(K9+K10)</f>
        <v>0.55555555555555558</v>
      </c>
    </row>
    <row r="17" spans="1:11" ht="15" customHeight="1" x14ac:dyDescent="0.35">
      <c r="A17">
        <f t="shared" si="0"/>
        <v>16</v>
      </c>
      <c r="B17" t="str">
        <f>raw_data!A17</f>
        <v>down</v>
      </c>
      <c r="C17">
        <f>raw_data!B17</f>
        <v>1</v>
      </c>
      <c r="D17">
        <f>raw_data!C17</f>
        <v>1</v>
      </c>
      <c r="E17">
        <f t="shared" si="1"/>
        <v>0</v>
      </c>
      <c r="F17">
        <f t="shared" si="2"/>
        <v>0</v>
      </c>
      <c r="G17">
        <f t="shared" si="3"/>
        <v>0</v>
      </c>
      <c r="H17">
        <f t="shared" si="4"/>
        <v>1</v>
      </c>
      <c r="I17">
        <f t="shared" si="5"/>
        <v>1</v>
      </c>
    </row>
    <row r="18" spans="1:11" ht="15" customHeight="1" x14ac:dyDescent="0.35">
      <c r="A18">
        <f t="shared" si="0"/>
        <v>17</v>
      </c>
      <c r="B18" t="str">
        <f>raw_data!A18</f>
        <v>down</v>
      </c>
      <c r="C18">
        <f>raw_data!B18</f>
        <v>0</v>
      </c>
      <c r="D18">
        <f>raw_data!C18</f>
        <v>0</v>
      </c>
      <c r="E18">
        <f t="shared" si="1"/>
        <v>0</v>
      </c>
      <c r="F18">
        <f t="shared" si="2"/>
        <v>1</v>
      </c>
      <c r="G18">
        <f t="shared" si="3"/>
        <v>0</v>
      </c>
      <c r="H18">
        <f t="shared" si="4"/>
        <v>0</v>
      </c>
      <c r="I18">
        <f t="shared" si="5"/>
        <v>0</v>
      </c>
      <c r="J18" t="s">
        <v>20</v>
      </c>
      <c r="K18">
        <f>_xlfn.NORM.S.INV(K15)</f>
        <v>0.39762166127650656</v>
      </c>
    </row>
    <row r="19" spans="1:11" ht="15" customHeight="1" x14ac:dyDescent="0.35">
      <c r="A19">
        <f t="shared" si="0"/>
        <v>18</v>
      </c>
      <c r="B19" t="str">
        <f>raw_data!A19</f>
        <v>down</v>
      </c>
      <c r="C19">
        <f>raw_data!B19</f>
        <v>1</v>
      </c>
      <c r="D19">
        <f>raw_data!C19</f>
        <v>-5</v>
      </c>
      <c r="E19">
        <f t="shared" si="1"/>
        <v>0</v>
      </c>
      <c r="F19">
        <f t="shared" si="2"/>
        <v>0</v>
      </c>
      <c r="G19">
        <f t="shared" si="3"/>
        <v>0</v>
      </c>
      <c r="H19">
        <f t="shared" si="4"/>
        <v>1</v>
      </c>
      <c r="I19">
        <f t="shared" si="5"/>
        <v>1</v>
      </c>
      <c r="J19" t="s">
        <v>21</v>
      </c>
      <c r="K19">
        <f>_xlfn.NORM.S.INV(K16)</f>
        <v>0.13971029888186212</v>
      </c>
    </row>
    <row r="20" spans="1:11" ht="15" customHeight="1" x14ac:dyDescent="0.35">
      <c r="A20">
        <f t="shared" si="0"/>
        <v>19</v>
      </c>
      <c r="B20" t="str">
        <f>raw_data!A20</f>
        <v>up</v>
      </c>
      <c r="C20">
        <f>raw_data!B20</f>
        <v>0</v>
      </c>
      <c r="D20">
        <f>raw_data!C20</f>
        <v>2</v>
      </c>
      <c r="E20">
        <f t="shared" si="1"/>
        <v>0</v>
      </c>
      <c r="F20">
        <f t="shared" si="2"/>
        <v>0</v>
      </c>
      <c r="G20">
        <f t="shared" si="3"/>
        <v>1</v>
      </c>
      <c r="H20">
        <f t="shared" si="4"/>
        <v>0</v>
      </c>
      <c r="I20">
        <f t="shared" si="5"/>
        <v>0</v>
      </c>
    </row>
    <row r="21" spans="1:11" ht="15" customHeight="1" x14ac:dyDescent="0.35">
      <c r="A21">
        <f t="shared" si="0"/>
        <v>20</v>
      </c>
      <c r="B21" t="str">
        <f>raw_data!A21</f>
        <v>up</v>
      </c>
      <c r="C21">
        <f>raw_data!B21</f>
        <v>0</v>
      </c>
      <c r="D21">
        <f>raw_data!C21</f>
        <v>0</v>
      </c>
      <c r="E21">
        <f t="shared" si="1"/>
        <v>1</v>
      </c>
      <c r="F21">
        <f t="shared" si="2"/>
        <v>0</v>
      </c>
      <c r="G21">
        <f t="shared" si="3"/>
        <v>0</v>
      </c>
      <c r="H21">
        <f t="shared" si="4"/>
        <v>0</v>
      </c>
      <c r="I21">
        <f t="shared" si="5"/>
        <v>1</v>
      </c>
      <c r="J21" s="1" t="s">
        <v>22</v>
      </c>
      <c r="K21" s="1">
        <f>K18-K19</f>
        <v>0.25791136239464441</v>
      </c>
    </row>
    <row r="22" spans="1:11" ht="15" customHeight="1" x14ac:dyDescent="0.35">
      <c r="A22">
        <f t="shared" si="0"/>
        <v>21</v>
      </c>
      <c r="B22" t="str">
        <f>raw_data!A22</f>
        <v>up</v>
      </c>
      <c r="C22">
        <f>raw_data!B22</f>
        <v>0</v>
      </c>
      <c r="D22">
        <f>raw_data!C22</f>
        <v>1</v>
      </c>
      <c r="E22">
        <f t="shared" si="1"/>
        <v>0</v>
      </c>
      <c r="F22">
        <f t="shared" si="2"/>
        <v>0</v>
      </c>
      <c r="G22">
        <f t="shared" si="3"/>
        <v>1</v>
      </c>
      <c r="H22">
        <f t="shared" si="4"/>
        <v>0</v>
      </c>
      <c r="I22">
        <f t="shared" si="5"/>
        <v>0</v>
      </c>
      <c r="J22" s="1" t="s">
        <v>23</v>
      </c>
      <c r="K22" s="1">
        <f>-(K18+K19)/2</f>
        <v>-0.26866598007918435</v>
      </c>
    </row>
    <row r="23" spans="1:11" ht="15" customHeight="1" x14ac:dyDescent="0.35">
      <c r="A23">
        <f t="shared" si="0"/>
        <v>22</v>
      </c>
      <c r="B23" t="str">
        <f>raw_data!A23</f>
        <v>up</v>
      </c>
      <c r="C23">
        <f>raw_data!B23</f>
        <v>1</v>
      </c>
      <c r="D23">
        <f>raw_data!C23</f>
        <v>0</v>
      </c>
      <c r="E23">
        <f t="shared" si="1"/>
        <v>1</v>
      </c>
      <c r="F23">
        <f t="shared" si="2"/>
        <v>0</v>
      </c>
      <c r="G23">
        <f t="shared" si="3"/>
        <v>0</v>
      </c>
      <c r="H23">
        <f t="shared" si="4"/>
        <v>0</v>
      </c>
      <c r="I23">
        <f t="shared" si="5"/>
        <v>1</v>
      </c>
    </row>
    <row r="24" spans="1:11" ht="15" customHeight="1" x14ac:dyDescent="0.35">
      <c r="A24">
        <f t="shared" si="0"/>
        <v>23</v>
      </c>
      <c r="B24" t="str">
        <f>raw_data!A24</f>
        <v>up</v>
      </c>
      <c r="C24">
        <f>raw_data!B24</f>
        <v>0</v>
      </c>
      <c r="D24">
        <f>raw_data!C24</f>
        <v>1</v>
      </c>
      <c r="E24">
        <f t="shared" si="1"/>
        <v>0</v>
      </c>
      <c r="F24">
        <f t="shared" si="2"/>
        <v>0</v>
      </c>
      <c r="G24">
        <f t="shared" si="3"/>
        <v>1</v>
      </c>
      <c r="H24">
        <f t="shared" si="4"/>
        <v>0</v>
      </c>
      <c r="I24">
        <f t="shared" si="5"/>
        <v>0</v>
      </c>
    </row>
    <row r="25" spans="1:11" ht="15" customHeight="1" x14ac:dyDescent="0.35">
      <c r="A25">
        <f t="shared" si="0"/>
        <v>24</v>
      </c>
      <c r="B25" t="str">
        <f>raw_data!A25</f>
        <v>down</v>
      </c>
      <c r="C25">
        <f>raw_data!B25</f>
        <v>1</v>
      </c>
      <c r="D25">
        <f>raw_data!C25</f>
        <v>-5</v>
      </c>
      <c r="E25">
        <f t="shared" si="1"/>
        <v>0</v>
      </c>
      <c r="F25">
        <f t="shared" si="2"/>
        <v>0</v>
      </c>
      <c r="G25">
        <f t="shared" si="3"/>
        <v>0</v>
      </c>
      <c r="H25">
        <f t="shared" si="4"/>
        <v>1</v>
      </c>
      <c r="I25">
        <f t="shared" si="5"/>
        <v>1</v>
      </c>
      <c r="J25" t="s">
        <v>24</v>
      </c>
      <c r="K25" t="s">
        <v>25</v>
      </c>
    </row>
    <row r="26" spans="1:11" ht="15" customHeight="1" x14ac:dyDescent="0.35">
      <c r="A26">
        <f t="shared" si="0"/>
        <v>25</v>
      </c>
      <c r="B26" t="str">
        <f>raw_data!A26</f>
        <v>up</v>
      </c>
      <c r="C26">
        <f>raw_data!B26</f>
        <v>0</v>
      </c>
      <c r="D26">
        <f>raw_data!C26</f>
        <v>3</v>
      </c>
      <c r="E26">
        <f t="shared" si="1"/>
        <v>0</v>
      </c>
      <c r="F26">
        <f t="shared" si="2"/>
        <v>0</v>
      </c>
      <c r="G26">
        <f t="shared" si="3"/>
        <v>1</v>
      </c>
      <c r="H26">
        <f t="shared" si="4"/>
        <v>0</v>
      </c>
      <c r="I26">
        <f t="shared" si="5"/>
        <v>0</v>
      </c>
      <c r="J26" t="s">
        <v>6</v>
      </c>
      <c r="K26">
        <f>K7</f>
        <v>36</v>
      </c>
    </row>
    <row r="27" spans="1:11" ht="15" customHeight="1" x14ac:dyDescent="0.35">
      <c r="A27">
        <f t="shared" si="0"/>
        <v>26</v>
      </c>
      <c r="B27" t="str">
        <f>raw_data!A27</f>
        <v>down</v>
      </c>
      <c r="C27">
        <f>raw_data!B27</f>
        <v>0</v>
      </c>
      <c r="D27">
        <f>raw_data!C27</f>
        <v>0</v>
      </c>
      <c r="E27">
        <f t="shared" si="1"/>
        <v>0</v>
      </c>
      <c r="F27">
        <f t="shared" si="2"/>
        <v>1</v>
      </c>
      <c r="G27">
        <f t="shared" si="3"/>
        <v>0</v>
      </c>
      <c r="H27">
        <f t="shared" si="4"/>
        <v>0</v>
      </c>
      <c r="I27">
        <f t="shared" si="5"/>
        <v>0</v>
      </c>
      <c r="J27" t="s">
        <v>7</v>
      </c>
      <c r="K27">
        <f>K8</f>
        <v>19</v>
      </c>
    </row>
    <row r="28" spans="1:11" ht="15" customHeight="1" x14ac:dyDescent="0.35">
      <c r="A28">
        <f t="shared" si="0"/>
        <v>27</v>
      </c>
      <c r="B28" t="str">
        <f>raw_data!A28</f>
        <v>down</v>
      </c>
      <c r="C28">
        <f>raw_data!B28</f>
        <v>0</v>
      </c>
      <c r="D28">
        <f>raw_data!C28</f>
        <v>0</v>
      </c>
      <c r="E28">
        <f t="shared" si="1"/>
        <v>0</v>
      </c>
      <c r="F28">
        <f t="shared" si="2"/>
        <v>1</v>
      </c>
      <c r="G28">
        <f t="shared" si="3"/>
        <v>0</v>
      </c>
      <c r="H28">
        <f t="shared" si="4"/>
        <v>0</v>
      </c>
      <c r="I28">
        <f t="shared" si="5"/>
        <v>0</v>
      </c>
      <c r="J28" t="s">
        <v>8</v>
      </c>
      <c r="K28">
        <f>K9</f>
        <v>25</v>
      </c>
    </row>
    <row r="29" spans="1:11" ht="15" customHeight="1" x14ac:dyDescent="0.35">
      <c r="A29">
        <f t="shared" si="0"/>
        <v>28</v>
      </c>
      <c r="B29" t="str">
        <f>raw_data!A29</f>
        <v>down</v>
      </c>
      <c r="C29">
        <f>raw_data!B29</f>
        <v>1</v>
      </c>
      <c r="D29">
        <f>raw_data!C29</f>
        <v>-3</v>
      </c>
      <c r="E29">
        <f t="shared" si="1"/>
        <v>0</v>
      </c>
      <c r="F29">
        <f t="shared" si="2"/>
        <v>0</v>
      </c>
      <c r="G29">
        <f t="shared" si="3"/>
        <v>0</v>
      </c>
      <c r="H29">
        <f t="shared" si="4"/>
        <v>1</v>
      </c>
      <c r="I29">
        <f t="shared" si="5"/>
        <v>1</v>
      </c>
      <c r="J29" t="s">
        <v>9</v>
      </c>
      <c r="K29">
        <f>K10</f>
        <v>20</v>
      </c>
    </row>
    <row r="30" spans="1:11" ht="15" customHeight="1" x14ac:dyDescent="0.35">
      <c r="A30">
        <f t="shared" si="0"/>
        <v>29</v>
      </c>
      <c r="B30" t="str">
        <f>raw_data!A30</f>
        <v>down</v>
      </c>
      <c r="C30">
        <f>raw_data!B30</f>
        <v>1</v>
      </c>
      <c r="D30">
        <f>raw_data!C30</f>
        <v>2</v>
      </c>
      <c r="E30">
        <f t="shared" si="1"/>
        <v>0</v>
      </c>
      <c r="F30">
        <f t="shared" si="2"/>
        <v>0</v>
      </c>
      <c r="G30">
        <f t="shared" si="3"/>
        <v>0</v>
      </c>
      <c r="H30">
        <f t="shared" si="4"/>
        <v>1</v>
      </c>
      <c r="I30">
        <f t="shared" si="5"/>
        <v>1</v>
      </c>
    </row>
    <row r="31" spans="1:11" ht="15" customHeight="1" x14ac:dyDescent="0.35">
      <c r="A31">
        <f t="shared" si="0"/>
        <v>30</v>
      </c>
      <c r="B31" t="str">
        <f>raw_data!A31</f>
        <v>down</v>
      </c>
      <c r="C31">
        <f>raw_data!B31</f>
        <v>0</v>
      </c>
      <c r="D31">
        <f>raw_data!C31</f>
        <v>0</v>
      </c>
      <c r="E31">
        <f t="shared" si="1"/>
        <v>0</v>
      </c>
      <c r="F31">
        <f t="shared" si="2"/>
        <v>1</v>
      </c>
      <c r="G31">
        <f t="shared" si="3"/>
        <v>0</v>
      </c>
      <c r="H31">
        <f t="shared" si="4"/>
        <v>0</v>
      </c>
      <c r="I31">
        <f t="shared" si="5"/>
        <v>0</v>
      </c>
    </row>
    <row r="32" spans="1:11" ht="15" customHeight="1" x14ac:dyDescent="0.35">
      <c r="A32">
        <f t="shared" si="0"/>
        <v>31</v>
      </c>
      <c r="B32" t="str">
        <f>raw_data!A32</f>
        <v>down</v>
      </c>
      <c r="C32">
        <f>raw_data!B32</f>
        <v>0</v>
      </c>
      <c r="D32">
        <f>raw_data!C32</f>
        <v>0</v>
      </c>
      <c r="E32">
        <f t="shared" si="1"/>
        <v>0</v>
      </c>
      <c r="F32">
        <f t="shared" si="2"/>
        <v>1</v>
      </c>
      <c r="G32">
        <f t="shared" si="3"/>
        <v>0</v>
      </c>
      <c r="H32">
        <f t="shared" si="4"/>
        <v>0</v>
      </c>
      <c r="I32">
        <f t="shared" si="5"/>
        <v>0</v>
      </c>
    </row>
    <row r="33" spans="1:9" ht="15" customHeight="1" x14ac:dyDescent="0.35">
      <c r="A33">
        <f t="shared" si="0"/>
        <v>32</v>
      </c>
      <c r="B33" t="str">
        <f>raw_data!A33</f>
        <v>down</v>
      </c>
      <c r="C33">
        <f>raw_data!B33</f>
        <v>1</v>
      </c>
      <c r="D33">
        <f>raw_data!C33</f>
        <v>0</v>
      </c>
      <c r="E33">
        <f t="shared" si="1"/>
        <v>0</v>
      </c>
      <c r="F33">
        <f t="shared" si="2"/>
        <v>1</v>
      </c>
      <c r="G33">
        <f t="shared" si="3"/>
        <v>0</v>
      </c>
      <c r="H33">
        <f t="shared" si="4"/>
        <v>0</v>
      </c>
      <c r="I33">
        <f t="shared" si="5"/>
        <v>0</v>
      </c>
    </row>
    <row r="34" spans="1:9" ht="15" customHeight="1" x14ac:dyDescent="0.35">
      <c r="A34">
        <f t="shared" ref="A34:A65" si="6">ROW()-1</f>
        <v>33</v>
      </c>
      <c r="B34" t="str">
        <f>raw_data!A34</f>
        <v>down</v>
      </c>
      <c r="C34">
        <f>raw_data!B34</f>
        <v>1</v>
      </c>
      <c r="D34">
        <f>raw_data!C34</f>
        <v>1</v>
      </c>
      <c r="E34">
        <f t="shared" ref="E34:E65" si="7">IF(AND(D34=0,B34="up"),1,0)</f>
        <v>0</v>
      </c>
      <c r="F34">
        <f t="shared" ref="F34:F65" si="8">IF(AND(D34=0,B34="down"),1,0)</f>
        <v>0</v>
      </c>
      <c r="G34">
        <f t="shared" ref="G34:G65" si="9">IF(AND(D34&lt;&gt;0,B34="up"),1,0)</f>
        <v>0</v>
      </c>
      <c r="H34">
        <f t="shared" ref="H34:H65" si="10">IF(AND(D34&lt;&gt;0,B34="down"),1,0)</f>
        <v>1</v>
      </c>
      <c r="I34">
        <f t="shared" ref="I34:I65" si="11">E34+H34</f>
        <v>1</v>
      </c>
    </row>
    <row r="35" spans="1:9" ht="15" customHeight="1" x14ac:dyDescent="0.35">
      <c r="A35">
        <f t="shared" si="6"/>
        <v>34</v>
      </c>
      <c r="B35" t="str">
        <f>raw_data!A35</f>
        <v>down</v>
      </c>
      <c r="C35">
        <f>raw_data!B35</f>
        <v>0</v>
      </c>
      <c r="D35">
        <f>raw_data!C35</f>
        <v>0</v>
      </c>
      <c r="E35">
        <f t="shared" si="7"/>
        <v>0</v>
      </c>
      <c r="F35">
        <f t="shared" si="8"/>
        <v>1</v>
      </c>
      <c r="G35">
        <f t="shared" si="9"/>
        <v>0</v>
      </c>
      <c r="H35">
        <f t="shared" si="10"/>
        <v>0</v>
      </c>
      <c r="I35">
        <f t="shared" si="11"/>
        <v>0</v>
      </c>
    </row>
    <row r="36" spans="1:9" ht="15" customHeight="1" x14ac:dyDescent="0.35">
      <c r="A36">
        <f t="shared" si="6"/>
        <v>35</v>
      </c>
      <c r="B36" t="str">
        <f>raw_data!A36</f>
        <v>down</v>
      </c>
      <c r="C36">
        <f>raw_data!B36</f>
        <v>0</v>
      </c>
      <c r="D36">
        <f>raw_data!C36</f>
        <v>0</v>
      </c>
      <c r="E36">
        <f t="shared" si="7"/>
        <v>0</v>
      </c>
      <c r="F36">
        <f t="shared" si="8"/>
        <v>1</v>
      </c>
      <c r="G36">
        <f t="shared" si="9"/>
        <v>0</v>
      </c>
      <c r="H36">
        <f t="shared" si="10"/>
        <v>0</v>
      </c>
      <c r="I36">
        <f t="shared" si="11"/>
        <v>0</v>
      </c>
    </row>
    <row r="37" spans="1:9" ht="15" customHeight="1" x14ac:dyDescent="0.35">
      <c r="A37">
        <f t="shared" si="6"/>
        <v>36</v>
      </c>
      <c r="B37" t="str">
        <f>raw_data!A37</f>
        <v>down</v>
      </c>
      <c r="C37">
        <f>raw_data!B37</f>
        <v>1</v>
      </c>
      <c r="D37">
        <f>raw_data!C37</f>
        <v>-2</v>
      </c>
      <c r="E37">
        <f t="shared" si="7"/>
        <v>0</v>
      </c>
      <c r="F37">
        <f t="shared" si="8"/>
        <v>0</v>
      </c>
      <c r="G37">
        <f t="shared" si="9"/>
        <v>0</v>
      </c>
      <c r="H37">
        <f t="shared" si="10"/>
        <v>1</v>
      </c>
      <c r="I37">
        <f t="shared" si="11"/>
        <v>1</v>
      </c>
    </row>
    <row r="38" spans="1:9" ht="15" customHeight="1" x14ac:dyDescent="0.35">
      <c r="A38">
        <f t="shared" si="6"/>
        <v>37</v>
      </c>
      <c r="B38" t="str">
        <f>raw_data!A38</f>
        <v>down</v>
      </c>
      <c r="C38">
        <f>raw_data!B38</f>
        <v>1</v>
      </c>
      <c r="D38">
        <f>raw_data!C38</f>
        <v>-4</v>
      </c>
      <c r="E38">
        <f t="shared" si="7"/>
        <v>0</v>
      </c>
      <c r="F38">
        <f t="shared" si="8"/>
        <v>0</v>
      </c>
      <c r="G38">
        <f t="shared" si="9"/>
        <v>0</v>
      </c>
      <c r="H38">
        <f t="shared" si="10"/>
        <v>1</v>
      </c>
      <c r="I38">
        <f t="shared" si="11"/>
        <v>1</v>
      </c>
    </row>
    <row r="39" spans="1:9" ht="15" customHeight="1" x14ac:dyDescent="0.35">
      <c r="A39">
        <f t="shared" si="6"/>
        <v>38</v>
      </c>
      <c r="B39" t="str">
        <f>raw_data!A39</f>
        <v>up</v>
      </c>
      <c r="C39">
        <f>raw_data!B39</f>
        <v>0</v>
      </c>
      <c r="D39">
        <f>raw_data!C39</f>
        <v>-5</v>
      </c>
      <c r="E39">
        <f t="shared" si="7"/>
        <v>0</v>
      </c>
      <c r="F39">
        <f t="shared" si="8"/>
        <v>0</v>
      </c>
      <c r="G39">
        <f t="shared" si="9"/>
        <v>1</v>
      </c>
      <c r="H39">
        <f t="shared" si="10"/>
        <v>0</v>
      </c>
      <c r="I39">
        <f t="shared" si="11"/>
        <v>0</v>
      </c>
    </row>
    <row r="40" spans="1:9" ht="15" customHeight="1" x14ac:dyDescent="0.35">
      <c r="A40">
        <f t="shared" si="6"/>
        <v>39</v>
      </c>
      <c r="B40" t="str">
        <f>raw_data!A40</f>
        <v>up</v>
      </c>
      <c r="C40">
        <f>raw_data!B40</f>
        <v>0</v>
      </c>
      <c r="D40">
        <f>raw_data!C40</f>
        <v>-5</v>
      </c>
      <c r="E40">
        <f t="shared" si="7"/>
        <v>0</v>
      </c>
      <c r="F40">
        <f t="shared" si="8"/>
        <v>0</v>
      </c>
      <c r="G40">
        <f t="shared" si="9"/>
        <v>1</v>
      </c>
      <c r="H40">
        <f t="shared" si="10"/>
        <v>0</v>
      </c>
      <c r="I40">
        <f t="shared" si="11"/>
        <v>0</v>
      </c>
    </row>
    <row r="41" spans="1:9" ht="15" customHeight="1" x14ac:dyDescent="0.35">
      <c r="A41">
        <f t="shared" si="6"/>
        <v>40</v>
      </c>
      <c r="B41" t="str">
        <f>raw_data!A41</f>
        <v>up</v>
      </c>
      <c r="C41">
        <f>raw_data!B41</f>
        <v>1</v>
      </c>
      <c r="D41">
        <f>raw_data!C41</f>
        <v>0</v>
      </c>
      <c r="E41">
        <f t="shared" si="7"/>
        <v>1</v>
      </c>
      <c r="F41">
        <f t="shared" si="8"/>
        <v>0</v>
      </c>
      <c r="G41">
        <f t="shared" si="9"/>
        <v>0</v>
      </c>
      <c r="H41">
        <f t="shared" si="10"/>
        <v>0</v>
      </c>
      <c r="I41">
        <f t="shared" si="11"/>
        <v>1</v>
      </c>
    </row>
    <row r="42" spans="1:9" ht="15" customHeight="1" x14ac:dyDescent="0.35">
      <c r="A42">
        <f t="shared" si="6"/>
        <v>41</v>
      </c>
      <c r="B42" t="str">
        <f>raw_data!A42</f>
        <v>up</v>
      </c>
      <c r="C42">
        <f>raw_data!B42</f>
        <v>0</v>
      </c>
      <c r="D42">
        <f>raw_data!C42</f>
        <v>-4</v>
      </c>
      <c r="E42">
        <f t="shared" si="7"/>
        <v>0</v>
      </c>
      <c r="F42">
        <f t="shared" si="8"/>
        <v>0</v>
      </c>
      <c r="G42">
        <f t="shared" si="9"/>
        <v>1</v>
      </c>
      <c r="H42">
        <f t="shared" si="10"/>
        <v>0</v>
      </c>
      <c r="I42">
        <f t="shared" si="11"/>
        <v>0</v>
      </c>
    </row>
    <row r="43" spans="1:9" ht="15" customHeight="1" x14ac:dyDescent="0.35">
      <c r="A43">
        <f t="shared" si="6"/>
        <v>42</v>
      </c>
      <c r="B43" t="str">
        <f>raw_data!A43</f>
        <v>up</v>
      </c>
      <c r="C43">
        <f>raw_data!B43</f>
        <v>1</v>
      </c>
      <c r="D43">
        <f>raw_data!C43</f>
        <v>0</v>
      </c>
      <c r="E43">
        <f t="shared" si="7"/>
        <v>1</v>
      </c>
      <c r="F43">
        <f t="shared" si="8"/>
        <v>0</v>
      </c>
      <c r="G43">
        <f t="shared" si="9"/>
        <v>0</v>
      </c>
      <c r="H43">
        <f t="shared" si="10"/>
        <v>0</v>
      </c>
      <c r="I43">
        <f t="shared" si="11"/>
        <v>1</v>
      </c>
    </row>
    <row r="44" spans="1:9" ht="15" customHeight="1" x14ac:dyDescent="0.35">
      <c r="A44">
        <f t="shared" si="6"/>
        <v>43</v>
      </c>
      <c r="B44" t="str">
        <f>raw_data!A44</f>
        <v>up</v>
      </c>
      <c r="C44">
        <f>raw_data!B44</f>
        <v>0</v>
      </c>
      <c r="D44">
        <f>raw_data!C44</f>
        <v>2</v>
      </c>
      <c r="E44">
        <f t="shared" si="7"/>
        <v>0</v>
      </c>
      <c r="F44">
        <f t="shared" si="8"/>
        <v>0</v>
      </c>
      <c r="G44">
        <f t="shared" si="9"/>
        <v>1</v>
      </c>
      <c r="H44">
        <f t="shared" si="10"/>
        <v>0</v>
      </c>
      <c r="I44">
        <f t="shared" si="11"/>
        <v>0</v>
      </c>
    </row>
    <row r="45" spans="1:9" ht="15" customHeight="1" x14ac:dyDescent="0.35">
      <c r="A45">
        <f t="shared" si="6"/>
        <v>44</v>
      </c>
      <c r="B45" t="str">
        <f>raw_data!A45</f>
        <v>up</v>
      </c>
      <c r="C45">
        <f>raw_data!B45</f>
        <v>1</v>
      </c>
      <c r="D45">
        <f>raw_data!C45</f>
        <v>0</v>
      </c>
      <c r="E45">
        <f t="shared" si="7"/>
        <v>1</v>
      </c>
      <c r="F45">
        <f t="shared" si="8"/>
        <v>0</v>
      </c>
      <c r="G45">
        <f t="shared" si="9"/>
        <v>0</v>
      </c>
      <c r="H45">
        <f t="shared" si="10"/>
        <v>0</v>
      </c>
      <c r="I45">
        <f t="shared" si="11"/>
        <v>1</v>
      </c>
    </row>
    <row r="46" spans="1:9" ht="15" customHeight="1" x14ac:dyDescent="0.35">
      <c r="A46">
        <f t="shared" si="6"/>
        <v>45</v>
      </c>
      <c r="B46" t="str">
        <f>raw_data!A46</f>
        <v>up</v>
      </c>
      <c r="C46">
        <f>raw_data!B46</f>
        <v>0</v>
      </c>
      <c r="D46">
        <f>raw_data!C46</f>
        <v>3</v>
      </c>
      <c r="E46">
        <f t="shared" si="7"/>
        <v>0</v>
      </c>
      <c r="F46">
        <f t="shared" si="8"/>
        <v>0</v>
      </c>
      <c r="G46">
        <f t="shared" si="9"/>
        <v>1</v>
      </c>
      <c r="H46">
        <f t="shared" si="10"/>
        <v>0</v>
      </c>
      <c r="I46">
        <f t="shared" si="11"/>
        <v>0</v>
      </c>
    </row>
    <row r="47" spans="1:9" ht="15" customHeight="1" x14ac:dyDescent="0.35">
      <c r="A47">
        <f t="shared" si="6"/>
        <v>46</v>
      </c>
      <c r="B47" t="str">
        <f>raw_data!A47</f>
        <v>up</v>
      </c>
      <c r="C47">
        <f>raw_data!B47</f>
        <v>1</v>
      </c>
      <c r="D47">
        <f>raw_data!C47</f>
        <v>0</v>
      </c>
      <c r="E47">
        <f t="shared" si="7"/>
        <v>1</v>
      </c>
      <c r="F47">
        <f t="shared" si="8"/>
        <v>0</v>
      </c>
      <c r="G47">
        <f t="shared" si="9"/>
        <v>0</v>
      </c>
      <c r="H47">
        <f t="shared" si="10"/>
        <v>0</v>
      </c>
      <c r="I47">
        <f t="shared" si="11"/>
        <v>1</v>
      </c>
    </row>
    <row r="48" spans="1:9" ht="15" customHeight="1" x14ac:dyDescent="0.35">
      <c r="A48">
        <f t="shared" si="6"/>
        <v>47</v>
      </c>
      <c r="B48" t="str">
        <f>raw_data!A48</f>
        <v>down</v>
      </c>
      <c r="C48">
        <f>raw_data!B48</f>
        <v>1</v>
      </c>
      <c r="D48">
        <f>raw_data!C48</f>
        <v>4</v>
      </c>
      <c r="E48">
        <f t="shared" si="7"/>
        <v>0</v>
      </c>
      <c r="F48">
        <f t="shared" si="8"/>
        <v>0</v>
      </c>
      <c r="G48">
        <f t="shared" si="9"/>
        <v>0</v>
      </c>
      <c r="H48">
        <f t="shared" si="10"/>
        <v>1</v>
      </c>
      <c r="I48">
        <f t="shared" si="11"/>
        <v>1</v>
      </c>
    </row>
    <row r="49" spans="1:9" ht="15" customHeight="1" x14ac:dyDescent="0.35">
      <c r="A49">
        <f t="shared" si="6"/>
        <v>48</v>
      </c>
      <c r="B49" t="str">
        <f>raw_data!A49</f>
        <v>up</v>
      </c>
      <c r="C49">
        <f>raw_data!B49</f>
        <v>1</v>
      </c>
      <c r="D49">
        <f>raw_data!C49</f>
        <v>0</v>
      </c>
      <c r="E49">
        <f t="shared" si="7"/>
        <v>1</v>
      </c>
      <c r="F49">
        <f t="shared" si="8"/>
        <v>0</v>
      </c>
      <c r="G49">
        <f t="shared" si="9"/>
        <v>0</v>
      </c>
      <c r="H49">
        <f t="shared" si="10"/>
        <v>0</v>
      </c>
      <c r="I49">
        <f t="shared" si="11"/>
        <v>1</v>
      </c>
    </row>
    <row r="50" spans="1:9" ht="15" customHeight="1" x14ac:dyDescent="0.35">
      <c r="A50">
        <f t="shared" si="6"/>
        <v>49</v>
      </c>
      <c r="B50" t="str">
        <f>raw_data!A50</f>
        <v>down</v>
      </c>
      <c r="C50">
        <f>raw_data!B50</f>
        <v>0</v>
      </c>
      <c r="D50">
        <f>raw_data!C50</f>
        <v>0</v>
      </c>
      <c r="E50">
        <f t="shared" si="7"/>
        <v>0</v>
      </c>
      <c r="F50">
        <f t="shared" si="8"/>
        <v>1</v>
      </c>
      <c r="G50">
        <f t="shared" si="9"/>
        <v>0</v>
      </c>
      <c r="H50">
        <f t="shared" si="10"/>
        <v>0</v>
      </c>
      <c r="I50">
        <f t="shared" si="11"/>
        <v>0</v>
      </c>
    </row>
    <row r="51" spans="1:9" ht="15" customHeight="1" x14ac:dyDescent="0.35">
      <c r="A51">
        <f t="shared" si="6"/>
        <v>50</v>
      </c>
      <c r="B51" t="str">
        <f>raw_data!A51</f>
        <v>up</v>
      </c>
      <c r="C51">
        <f>raw_data!B51</f>
        <v>0</v>
      </c>
      <c r="D51">
        <f>raw_data!C51</f>
        <v>4</v>
      </c>
      <c r="E51">
        <f t="shared" si="7"/>
        <v>0</v>
      </c>
      <c r="F51">
        <f t="shared" si="8"/>
        <v>0</v>
      </c>
      <c r="G51">
        <f t="shared" si="9"/>
        <v>1</v>
      </c>
      <c r="H51">
        <f t="shared" si="10"/>
        <v>0</v>
      </c>
      <c r="I51">
        <f t="shared" si="11"/>
        <v>0</v>
      </c>
    </row>
    <row r="52" spans="1:9" ht="15" customHeight="1" x14ac:dyDescent="0.35">
      <c r="A52">
        <f t="shared" si="6"/>
        <v>51</v>
      </c>
      <c r="B52" t="str">
        <f>raw_data!A52</f>
        <v>up</v>
      </c>
      <c r="C52">
        <f>raw_data!B52</f>
        <v>1</v>
      </c>
      <c r="D52">
        <f>raw_data!C52</f>
        <v>0</v>
      </c>
      <c r="E52">
        <f t="shared" si="7"/>
        <v>1</v>
      </c>
      <c r="F52">
        <f t="shared" si="8"/>
        <v>0</v>
      </c>
      <c r="G52">
        <f t="shared" si="9"/>
        <v>0</v>
      </c>
      <c r="H52">
        <f t="shared" si="10"/>
        <v>0</v>
      </c>
      <c r="I52">
        <f t="shared" si="11"/>
        <v>1</v>
      </c>
    </row>
    <row r="53" spans="1:9" ht="15" customHeight="1" x14ac:dyDescent="0.35">
      <c r="A53">
        <f t="shared" si="6"/>
        <v>52</v>
      </c>
      <c r="B53" t="str">
        <f>raw_data!A53</f>
        <v>down</v>
      </c>
      <c r="C53">
        <f>raw_data!B53</f>
        <v>1</v>
      </c>
      <c r="D53">
        <f>raw_data!C53</f>
        <v>-3</v>
      </c>
      <c r="E53">
        <f t="shared" si="7"/>
        <v>0</v>
      </c>
      <c r="F53">
        <f t="shared" si="8"/>
        <v>0</v>
      </c>
      <c r="G53">
        <f t="shared" si="9"/>
        <v>0</v>
      </c>
      <c r="H53">
        <f t="shared" si="10"/>
        <v>1</v>
      </c>
      <c r="I53">
        <f t="shared" si="11"/>
        <v>1</v>
      </c>
    </row>
    <row r="54" spans="1:9" ht="15" customHeight="1" x14ac:dyDescent="0.35">
      <c r="A54">
        <f t="shared" si="6"/>
        <v>53</v>
      </c>
      <c r="B54" t="str">
        <f>raw_data!A54</f>
        <v>up</v>
      </c>
      <c r="C54">
        <f>raw_data!B54</f>
        <v>1</v>
      </c>
      <c r="D54">
        <f>raw_data!C54</f>
        <v>0</v>
      </c>
      <c r="E54">
        <f t="shared" si="7"/>
        <v>1</v>
      </c>
      <c r="F54">
        <f t="shared" si="8"/>
        <v>0</v>
      </c>
      <c r="G54">
        <f t="shared" si="9"/>
        <v>0</v>
      </c>
      <c r="H54">
        <f t="shared" si="10"/>
        <v>0</v>
      </c>
      <c r="I54">
        <f t="shared" si="11"/>
        <v>1</v>
      </c>
    </row>
    <row r="55" spans="1:9" ht="15" customHeight="1" x14ac:dyDescent="0.35">
      <c r="A55">
        <f t="shared" si="6"/>
        <v>54</v>
      </c>
      <c r="B55" t="str">
        <f>raw_data!A55</f>
        <v>down</v>
      </c>
      <c r="C55">
        <f>raw_data!B55</f>
        <v>1</v>
      </c>
      <c r="D55">
        <f>raw_data!C55</f>
        <v>4</v>
      </c>
      <c r="E55">
        <f t="shared" si="7"/>
        <v>0</v>
      </c>
      <c r="F55">
        <f t="shared" si="8"/>
        <v>0</v>
      </c>
      <c r="G55">
        <f t="shared" si="9"/>
        <v>0</v>
      </c>
      <c r="H55">
        <f t="shared" si="10"/>
        <v>1</v>
      </c>
      <c r="I55">
        <f t="shared" si="11"/>
        <v>1</v>
      </c>
    </row>
    <row r="56" spans="1:9" ht="15" customHeight="1" x14ac:dyDescent="0.35">
      <c r="A56">
        <f t="shared" si="6"/>
        <v>55</v>
      </c>
      <c r="B56" t="str">
        <f>raw_data!A56</f>
        <v>up</v>
      </c>
      <c r="C56">
        <f>raw_data!B56</f>
        <v>0</v>
      </c>
      <c r="D56">
        <f>raw_data!C56</f>
        <v>4</v>
      </c>
      <c r="E56">
        <f t="shared" si="7"/>
        <v>0</v>
      </c>
      <c r="F56">
        <f t="shared" si="8"/>
        <v>0</v>
      </c>
      <c r="G56">
        <f t="shared" si="9"/>
        <v>1</v>
      </c>
      <c r="H56">
        <f t="shared" si="10"/>
        <v>0</v>
      </c>
      <c r="I56">
        <f t="shared" si="11"/>
        <v>0</v>
      </c>
    </row>
    <row r="57" spans="1:9" ht="15" customHeight="1" x14ac:dyDescent="0.35">
      <c r="A57">
        <f t="shared" si="6"/>
        <v>56</v>
      </c>
      <c r="B57" t="str">
        <f>raw_data!A57</f>
        <v>down</v>
      </c>
      <c r="C57">
        <f>raw_data!B57</f>
        <v>0</v>
      </c>
      <c r="D57">
        <f>raw_data!C57</f>
        <v>0</v>
      </c>
      <c r="E57">
        <f t="shared" si="7"/>
        <v>0</v>
      </c>
      <c r="F57">
        <f t="shared" si="8"/>
        <v>1</v>
      </c>
      <c r="G57">
        <f t="shared" si="9"/>
        <v>0</v>
      </c>
      <c r="H57">
        <f t="shared" si="10"/>
        <v>0</v>
      </c>
      <c r="I57">
        <f t="shared" si="11"/>
        <v>0</v>
      </c>
    </row>
    <row r="58" spans="1:9" ht="15" customHeight="1" x14ac:dyDescent="0.35">
      <c r="A58">
        <f t="shared" si="6"/>
        <v>57</v>
      </c>
      <c r="B58" t="str">
        <f>raw_data!A58</f>
        <v>up</v>
      </c>
      <c r="C58">
        <f>raw_data!B58</f>
        <v>0</v>
      </c>
      <c r="D58">
        <f>raw_data!C58</f>
        <v>-2</v>
      </c>
      <c r="E58">
        <f t="shared" si="7"/>
        <v>0</v>
      </c>
      <c r="F58">
        <f t="shared" si="8"/>
        <v>0</v>
      </c>
      <c r="G58">
        <f t="shared" si="9"/>
        <v>1</v>
      </c>
      <c r="H58">
        <f t="shared" si="10"/>
        <v>0</v>
      </c>
      <c r="I58">
        <f t="shared" si="11"/>
        <v>0</v>
      </c>
    </row>
    <row r="59" spans="1:9" ht="15" customHeight="1" x14ac:dyDescent="0.35">
      <c r="A59">
        <f t="shared" si="6"/>
        <v>58</v>
      </c>
      <c r="B59" t="str">
        <f>raw_data!A59</f>
        <v>up</v>
      </c>
      <c r="C59">
        <f>raw_data!B59</f>
        <v>0</v>
      </c>
      <c r="D59">
        <f>raw_data!C59</f>
        <v>0</v>
      </c>
      <c r="E59">
        <f t="shared" si="7"/>
        <v>1</v>
      </c>
      <c r="F59">
        <f t="shared" si="8"/>
        <v>0</v>
      </c>
      <c r="G59">
        <f t="shared" si="9"/>
        <v>0</v>
      </c>
      <c r="H59">
        <f t="shared" si="10"/>
        <v>0</v>
      </c>
      <c r="I59">
        <f t="shared" si="11"/>
        <v>1</v>
      </c>
    </row>
    <row r="60" spans="1:9" ht="15" customHeight="1" x14ac:dyDescent="0.35">
      <c r="A60">
        <f t="shared" si="6"/>
        <v>59</v>
      </c>
      <c r="B60" t="str">
        <f>raw_data!A60</f>
        <v>up</v>
      </c>
      <c r="C60">
        <f>raw_data!B60</f>
        <v>1</v>
      </c>
      <c r="D60">
        <f>raw_data!C60</f>
        <v>0</v>
      </c>
      <c r="E60">
        <f t="shared" si="7"/>
        <v>1</v>
      </c>
      <c r="F60">
        <f t="shared" si="8"/>
        <v>0</v>
      </c>
      <c r="G60">
        <f t="shared" si="9"/>
        <v>0</v>
      </c>
      <c r="H60">
        <f t="shared" si="10"/>
        <v>0</v>
      </c>
      <c r="I60">
        <f t="shared" si="11"/>
        <v>1</v>
      </c>
    </row>
    <row r="61" spans="1:9" ht="15" customHeight="1" x14ac:dyDescent="0.35">
      <c r="A61">
        <f t="shared" si="6"/>
        <v>60</v>
      </c>
      <c r="B61" t="str">
        <f>raw_data!A61</f>
        <v>up</v>
      </c>
      <c r="C61">
        <f>raw_data!B61</f>
        <v>0</v>
      </c>
      <c r="D61">
        <f>raw_data!C61</f>
        <v>-3</v>
      </c>
      <c r="E61">
        <f t="shared" si="7"/>
        <v>0</v>
      </c>
      <c r="F61">
        <f t="shared" si="8"/>
        <v>0</v>
      </c>
      <c r="G61">
        <f t="shared" si="9"/>
        <v>1</v>
      </c>
      <c r="H61">
        <f t="shared" si="10"/>
        <v>0</v>
      </c>
      <c r="I61">
        <f t="shared" si="11"/>
        <v>0</v>
      </c>
    </row>
    <row r="62" spans="1:9" ht="15" customHeight="1" x14ac:dyDescent="0.35">
      <c r="A62">
        <f t="shared" si="6"/>
        <v>61</v>
      </c>
      <c r="B62" t="str">
        <f>raw_data!A62</f>
        <v>up</v>
      </c>
      <c r="C62">
        <f>raw_data!B62</f>
        <v>0</v>
      </c>
      <c r="D62">
        <f>raw_data!C62</f>
        <v>3</v>
      </c>
      <c r="E62">
        <f t="shared" si="7"/>
        <v>0</v>
      </c>
      <c r="F62">
        <f t="shared" si="8"/>
        <v>0</v>
      </c>
      <c r="G62">
        <f t="shared" si="9"/>
        <v>1</v>
      </c>
      <c r="H62">
        <f t="shared" si="10"/>
        <v>0</v>
      </c>
      <c r="I62">
        <f t="shared" si="11"/>
        <v>0</v>
      </c>
    </row>
    <row r="63" spans="1:9" ht="15" customHeight="1" x14ac:dyDescent="0.35">
      <c r="A63">
        <f t="shared" si="6"/>
        <v>62</v>
      </c>
      <c r="B63" t="str">
        <f>raw_data!A63</f>
        <v>down</v>
      </c>
      <c r="C63">
        <f>raw_data!B63</f>
        <v>1</v>
      </c>
      <c r="D63">
        <f>raw_data!C63</f>
        <v>-1</v>
      </c>
      <c r="E63">
        <f t="shared" si="7"/>
        <v>0</v>
      </c>
      <c r="F63">
        <f t="shared" si="8"/>
        <v>0</v>
      </c>
      <c r="G63">
        <f t="shared" si="9"/>
        <v>0</v>
      </c>
      <c r="H63">
        <f t="shared" si="10"/>
        <v>1</v>
      </c>
      <c r="I63">
        <f t="shared" si="11"/>
        <v>1</v>
      </c>
    </row>
    <row r="64" spans="1:9" ht="15" customHeight="1" x14ac:dyDescent="0.35">
      <c r="A64">
        <f t="shared" si="6"/>
        <v>63</v>
      </c>
      <c r="B64" t="str">
        <f>raw_data!A64</f>
        <v>up</v>
      </c>
      <c r="C64">
        <f>raw_data!B64</f>
        <v>1</v>
      </c>
      <c r="D64">
        <f>raw_data!C64</f>
        <v>0</v>
      </c>
      <c r="E64">
        <f t="shared" si="7"/>
        <v>1</v>
      </c>
      <c r="F64">
        <f t="shared" si="8"/>
        <v>0</v>
      </c>
      <c r="G64">
        <f t="shared" si="9"/>
        <v>0</v>
      </c>
      <c r="H64">
        <f t="shared" si="10"/>
        <v>0</v>
      </c>
      <c r="I64">
        <f t="shared" si="11"/>
        <v>1</v>
      </c>
    </row>
    <row r="65" spans="1:9" ht="15" customHeight="1" x14ac:dyDescent="0.35">
      <c r="A65">
        <f t="shared" si="6"/>
        <v>64</v>
      </c>
      <c r="B65" t="str">
        <f>raw_data!A65</f>
        <v>up</v>
      </c>
      <c r="C65">
        <f>raw_data!B65</f>
        <v>1</v>
      </c>
      <c r="D65">
        <f>raw_data!C65</f>
        <v>0</v>
      </c>
      <c r="E65">
        <f t="shared" si="7"/>
        <v>1</v>
      </c>
      <c r="F65">
        <f t="shared" si="8"/>
        <v>0</v>
      </c>
      <c r="G65">
        <f t="shared" si="9"/>
        <v>0</v>
      </c>
      <c r="H65">
        <f t="shared" si="10"/>
        <v>0</v>
      </c>
      <c r="I65">
        <f t="shared" si="11"/>
        <v>1</v>
      </c>
    </row>
    <row r="66" spans="1:9" ht="15" customHeight="1" x14ac:dyDescent="0.35">
      <c r="A66">
        <f t="shared" ref="A66:A101" si="12">ROW()-1</f>
        <v>65</v>
      </c>
      <c r="B66" t="str">
        <f>raw_data!A66</f>
        <v>up</v>
      </c>
      <c r="C66">
        <f>raw_data!B66</f>
        <v>0</v>
      </c>
      <c r="D66">
        <f>raw_data!C66</f>
        <v>1</v>
      </c>
      <c r="E66">
        <f t="shared" ref="E66:E97" si="13">IF(AND(D66=0,B66="up"),1,0)</f>
        <v>0</v>
      </c>
      <c r="F66">
        <f t="shared" ref="F66:F101" si="14">IF(AND(D66=0,B66="down"),1,0)</f>
        <v>0</v>
      </c>
      <c r="G66">
        <f t="shared" ref="G66:G101" si="15">IF(AND(D66&lt;&gt;0,B66="up"),1,0)</f>
        <v>1</v>
      </c>
      <c r="H66">
        <f t="shared" ref="H66:H101" si="16">IF(AND(D66&lt;&gt;0,B66="down"),1,0)</f>
        <v>0</v>
      </c>
      <c r="I66">
        <f t="shared" ref="I66:I97" si="17">E66+H66</f>
        <v>0</v>
      </c>
    </row>
    <row r="67" spans="1:9" ht="15" customHeight="1" x14ac:dyDescent="0.35">
      <c r="A67">
        <f t="shared" si="12"/>
        <v>66</v>
      </c>
      <c r="B67" t="str">
        <f>raw_data!A67</f>
        <v>up</v>
      </c>
      <c r="C67">
        <f>raw_data!B67</f>
        <v>1</v>
      </c>
      <c r="D67">
        <f>raw_data!C67</f>
        <v>0</v>
      </c>
      <c r="E67">
        <f t="shared" si="13"/>
        <v>1</v>
      </c>
      <c r="F67">
        <f t="shared" si="14"/>
        <v>0</v>
      </c>
      <c r="G67">
        <f t="shared" si="15"/>
        <v>0</v>
      </c>
      <c r="H67">
        <f t="shared" si="16"/>
        <v>0</v>
      </c>
      <c r="I67">
        <f t="shared" si="17"/>
        <v>1</v>
      </c>
    </row>
    <row r="68" spans="1:9" ht="15" customHeight="1" x14ac:dyDescent="0.35">
      <c r="A68">
        <f t="shared" si="12"/>
        <v>67</v>
      </c>
      <c r="B68" t="str">
        <f>raw_data!A68</f>
        <v>up</v>
      </c>
      <c r="C68">
        <f>raw_data!B68</f>
        <v>0</v>
      </c>
      <c r="D68">
        <f>raw_data!C68</f>
        <v>-3</v>
      </c>
      <c r="E68">
        <f t="shared" si="13"/>
        <v>0</v>
      </c>
      <c r="F68">
        <f t="shared" si="14"/>
        <v>0</v>
      </c>
      <c r="G68">
        <f t="shared" si="15"/>
        <v>1</v>
      </c>
      <c r="H68">
        <f t="shared" si="16"/>
        <v>0</v>
      </c>
      <c r="I68">
        <f t="shared" si="17"/>
        <v>0</v>
      </c>
    </row>
    <row r="69" spans="1:9" ht="15" customHeight="1" x14ac:dyDescent="0.35">
      <c r="A69">
        <f t="shared" si="12"/>
        <v>68</v>
      </c>
      <c r="B69" t="str">
        <f>raw_data!A69</f>
        <v>up</v>
      </c>
      <c r="C69">
        <f>raw_data!B69</f>
        <v>1</v>
      </c>
      <c r="D69">
        <f>raw_data!C69</f>
        <v>0</v>
      </c>
      <c r="E69">
        <f t="shared" si="13"/>
        <v>1</v>
      </c>
      <c r="F69">
        <f t="shared" si="14"/>
        <v>0</v>
      </c>
      <c r="G69">
        <f t="shared" si="15"/>
        <v>0</v>
      </c>
      <c r="H69">
        <f t="shared" si="16"/>
        <v>0</v>
      </c>
      <c r="I69">
        <f t="shared" si="17"/>
        <v>1</v>
      </c>
    </row>
    <row r="70" spans="1:9" ht="15" customHeight="1" x14ac:dyDescent="0.35">
      <c r="A70">
        <f t="shared" si="12"/>
        <v>69</v>
      </c>
      <c r="B70" t="str">
        <f>raw_data!A70</f>
        <v>up</v>
      </c>
      <c r="C70">
        <f>raw_data!B70</f>
        <v>1</v>
      </c>
      <c r="D70">
        <f>raw_data!C70</f>
        <v>0</v>
      </c>
      <c r="E70">
        <f t="shared" si="13"/>
        <v>1</v>
      </c>
      <c r="F70">
        <f t="shared" si="14"/>
        <v>0</v>
      </c>
      <c r="G70">
        <f t="shared" si="15"/>
        <v>0</v>
      </c>
      <c r="H70">
        <f t="shared" si="16"/>
        <v>0</v>
      </c>
      <c r="I70">
        <f t="shared" si="17"/>
        <v>1</v>
      </c>
    </row>
    <row r="71" spans="1:9" ht="15" customHeight="1" x14ac:dyDescent="0.35">
      <c r="A71">
        <f t="shared" si="12"/>
        <v>70</v>
      </c>
      <c r="B71" t="str">
        <f>raw_data!A71</f>
        <v>up</v>
      </c>
      <c r="C71">
        <f>raw_data!B71</f>
        <v>0</v>
      </c>
      <c r="D71">
        <f>raw_data!C71</f>
        <v>2</v>
      </c>
      <c r="E71">
        <f t="shared" si="13"/>
        <v>0</v>
      </c>
      <c r="F71">
        <f t="shared" si="14"/>
        <v>0</v>
      </c>
      <c r="G71">
        <f t="shared" si="15"/>
        <v>1</v>
      </c>
      <c r="H71">
        <f t="shared" si="16"/>
        <v>0</v>
      </c>
      <c r="I71">
        <f t="shared" si="17"/>
        <v>0</v>
      </c>
    </row>
    <row r="72" spans="1:9" ht="15" customHeight="1" x14ac:dyDescent="0.35">
      <c r="A72">
        <f t="shared" si="12"/>
        <v>71</v>
      </c>
      <c r="B72" t="str">
        <f>raw_data!A72</f>
        <v>down</v>
      </c>
      <c r="C72">
        <f>raw_data!B72</f>
        <v>1</v>
      </c>
      <c r="D72">
        <f>raw_data!C72</f>
        <v>-4</v>
      </c>
      <c r="E72">
        <f t="shared" si="13"/>
        <v>0</v>
      </c>
      <c r="F72">
        <f t="shared" si="14"/>
        <v>0</v>
      </c>
      <c r="G72">
        <f t="shared" si="15"/>
        <v>0</v>
      </c>
      <c r="H72">
        <f t="shared" si="16"/>
        <v>1</v>
      </c>
      <c r="I72">
        <f t="shared" si="17"/>
        <v>1</v>
      </c>
    </row>
    <row r="73" spans="1:9" ht="15" customHeight="1" x14ac:dyDescent="0.35">
      <c r="A73">
        <f t="shared" si="12"/>
        <v>72</v>
      </c>
      <c r="B73" t="str">
        <f>raw_data!A73</f>
        <v>up</v>
      </c>
      <c r="C73">
        <f>raw_data!B73</f>
        <v>0</v>
      </c>
      <c r="D73">
        <f>raw_data!C73</f>
        <v>-2</v>
      </c>
      <c r="E73">
        <f t="shared" si="13"/>
        <v>0</v>
      </c>
      <c r="F73">
        <f t="shared" si="14"/>
        <v>0</v>
      </c>
      <c r="G73">
        <f t="shared" si="15"/>
        <v>1</v>
      </c>
      <c r="H73">
        <f t="shared" si="16"/>
        <v>0</v>
      </c>
      <c r="I73">
        <f t="shared" si="17"/>
        <v>0</v>
      </c>
    </row>
    <row r="74" spans="1:9" ht="15" customHeight="1" x14ac:dyDescent="0.35">
      <c r="A74">
        <f t="shared" si="12"/>
        <v>73</v>
      </c>
      <c r="B74" t="str">
        <f>raw_data!A74</f>
        <v>down</v>
      </c>
      <c r="C74">
        <f>raw_data!B74</f>
        <v>1</v>
      </c>
      <c r="D74">
        <f>raw_data!C74</f>
        <v>0</v>
      </c>
      <c r="E74">
        <f t="shared" si="13"/>
        <v>0</v>
      </c>
      <c r="F74">
        <f t="shared" si="14"/>
        <v>1</v>
      </c>
      <c r="G74">
        <f t="shared" si="15"/>
        <v>0</v>
      </c>
      <c r="H74">
        <f t="shared" si="16"/>
        <v>0</v>
      </c>
      <c r="I74">
        <f t="shared" si="17"/>
        <v>0</v>
      </c>
    </row>
    <row r="75" spans="1:9" ht="15" customHeight="1" x14ac:dyDescent="0.35">
      <c r="A75">
        <f t="shared" si="12"/>
        <v>74</v>
      </c>
      <c r="B75" t="str">
        <f>raw_data!A75</f>
        <v>up</v>
      </c>
      <c r="C75">
        <f>raw_data!B75</f>
        <v>1</v>
      </c>
      <c r="D75">
        <f>raw_data!C75</f>
        <v>0</v>
      </c>
      <c r="E75">
        <f t="shared" si="13"/>
        <v>1</v>
      </c>
      <c r="F75">
        <f t="shared" si="14"/>
        <v>0</v>
      </c>
      <c r="G75">
        <f t="shared" si="15"/>
        <v>0</v>
      </c>
      <c r="H75">
        <f t="shared" si="16"/>
        <v>0</v>
      </c>
      <c r="I75">
        <f t="shared" si="17"/>
        <v>1</v>
      </c>
    </row>
    <row r="76" spans="1:9" ht="15" customHeight="1" x14ac:dyDescent="0.35">
      <c r="A76">
        <f t="shared" si="12"/>
        <v>75</v>
      </c>
      <c r="B76" t="str">
        <f>raw_data!A76</f>
        <v>up</v>
      </c>
      <c r="C76">
        <f>raw_data!B76</f>
        <v>1</v>
      </c>
      <c r="D76">
        <f>raw_data!C76</f>
        <v>0</v>
      </c>
      <c r="E76">
        <f t="shared" si="13"/>
        <v>1</v>
      </c>
      <c r="F76">
        <f t="shared" si="14"/>
        <v>0</v>
      </c>
      <c r="G76">
        <f t="shared" si="15"/>
        <v>0</v>
      </c>
      <c r="H76">
        <f t="shared" si="16"/>
        <v>0</v>
      </c>
      <c r="I76">
        <f t="shared" si="17"/>
        <v>1</v>
      </c>
    </row>
    <row r="77" spans="1:9" ht="15" customHeight="1" x14ac:dyDescent="0.35">
      <c r="A77">
        <f t="shared" si="12"/>
        <v>76</v>
      </c>
      <c r="B77" t="str">
        <f>raw_data!A77</f>
        <v>up</v>
      </c>
      <c r="C77">
        <f>raw_data!B77</f>
        <v>0</v>
      </c>
      <c r="D77">
        <f>raw_data!C77</f>
        <v>0</v>
      </c>
      <c r="E77">
        <f t="shared" si="13"/>
        <v>1</v>
      </c>
      <c r="F77">
        <f t="shared" si="14"/>
        <v>0</v>
      </c>
      <c r="G77">
        <f t="shared" si="15"/>
        <v>0</v>
      </c>
      <c r="H77">
        <f t="shared" si="16"/>
        <v>0</v>
      </c>
      <c r="I77">
        <f t="shared" si="17"/>
        <v>1</v>
      </c>
    </row>
    <row r="78" spans="1:9" ht="15" customHeight="1" x14ac:dyDescent="0.35">
      <c r="A78">
        <f t="shared" si="12"/>
        <v>77</v>
      </c>
      <c r="B78" t="str">
        <f>raw_data!A78</f>
        <v>up</v>
      </c>
      <c r="C78">
        <f>raw_data!B78</f>
        <v>1</v>
      </c>
      <c r="D78">
        <f>raw_data!C78</f>
        <v>0</v>
      </c>
      <c r="E78">
        <f t="shared" si="13"/>
        <v>1</v>
      </c>
      <c r="F78">
        <f t="shared" si="14"/>
        <v>0</v>
      </c>
      <c r="G78">
        <f t="shared" si="15"/>
        <v>0</v>
      </c>
      <c r="H78">
        <f t="shared" si="16"/>
        <v>0</v>
      </c>
      <c r="I78">
        <f t="shared" si="17"/>
        <v>1</v>
      </c>
    </row>
    <row r="79" spans="1:9" ht="15" customHeight="1" x14ac:dyDescent="0.35">
      <c r="A79">
        <f t="shared" si="12"/>
        <v>78</v>
      </c>
      <c r="B79" t="str">
        <f>raw_data!A79</f>
        <v>up</v>
      </c>
      <c r="C79">
        <f>raw_data!B79</f>
        <v>1</v>
      </c>
      <c r="D79">
        <f>raw_data!C79</f>
        <v>0</v>
      </c>
      <c r="E79">
        <f t="shared" si="13"/>
        <v>1</v>
      </c>
      <c r="F79">
        <f t="shared" si="14"/>
        <v>0</v>
      </c>
      <c r="G79">
        <f t="shared" si="15"/>
        <v>0</v>
      </c>
      <c r="H79">
        <f t="shared" si="16"/>
        <v>0</v>
      </c>
      <c r="I79">
        <f t="shared" si="17"/>
        <v>1</v>
      </c>
    </row>
    <row r="80" spans="1:9" ht="15" customHeight="1" x14ac:dyDescent="0.35">
      <c r="A80">
        <f t="shared" si="12"/>
        <v>79</v>
      </c>
      <c r="B80" t="str">
        <f>raw_data!A80</f>
        <v>up</v>
      </c>
      <c r="C80">
        <f>raw_data!B80</f>
        <v>1</v>
      </c>
      <c r="D80">
        <f>raw_data!C80</f>
        <v>0</v>
      </c>
      <c r="E80">
        <f t="shared" si="13"/>
        <v>1</v>
      </c>
      <c r="F80">
        <f t="shared" si="14"/>
        <v>0</v>
      </c>
      <c r="G80">
        <f t="shared" si="15"/>
        <v>0</v>
      </c>
      <c r="H80">
        <f t="shared" si="16"/>
        <v>0</v>
      </c>
      <c r="I80">
        <f t="shared" si="17"/>
        <v>1</v>
      </c>
    </row>
    <row r="81" spans="1:9" ht="15" customHeight="1" x14ac:dyDescent="0.35">
      <c r="A81">
        <f t="shared" si="12"/>
        <v>80</v>
      </c>
      <c r="B81" t="str">
        <f>raw_data!A81</f>
        <v>up</v>
      </c>
      <c r="C81">
        <f>raw_data!B81</f>
        <v>1</v>
      </c>
      <c r="D81">
        <f>raw_data!C81</f>
        <v>0</v>
      </c>
      <c r="E81">
        <f t="shared" si="13"/>
        <v>1</v>
      </c>
      <c r="F81">
        <f t="shared" si="14"/>
        <v>0</v>
      </c>
      <c r="G81">
        <f t="shared" si="15"/>
        <v>0</v>
      </c>
      <c r="H81">
        <f t="shared" si="16"/>
        <v>0</v>
      </c>
      <c r="I81">
        <f t="shared" si="17"/>
        <v>1</v>
      </c>
    </row>
    <row r="82" spans="1:9" ht="15" customHeight="1" x14ac:dyDescent="0.35">
      <c r="A82">
        <f t="shared" si="12"/>
        <v>81</v>
      </c>
      <c r="B82" t="str">
        <f>raw_data!A82</f>
        <v>up</v>
      </c>
      <c r="C82">
        <f>raw_data!B82</f>
        <v>1</v>
      </c>
      <c r="D82">
        <f>raw_data!C82</f>
        <v>0</v>
      </c>
      <c r="E82">
        <f t="shared" si="13"/>
        <v>1</v>
      </c>
      <c r="F82">
        <f t="shared" si="14"/>
        <v>0</v>
      </c>
      <c r="G82">
        <f t="shared" si="15"/>
        <v>0</v>
      </c>
      <c r="H82">
        <f t="shared" si="16"/>
        <v>0</v>
      </c>
      <c r="I82">
        <f t="shared" si="17"/>
        <v>1</v>
      </c>
    </row>
    <row r="83" spans="1:9" ht="15" customHeight="1" x14ac:dyDescent="0.35">
      <c r="A83">
        <f t="shared" si="12"/>
        <v>82</v>
      </c>
      <c r="B83" t="str">
        <f>raw_data!A83</f>
        <v>up</v>
      </c>
      <c r="C83">
        <f>raw_data!B83</f>
        <v>0</v>
      </c>
      <c r="D83">
        <f>raw_data!C83</f>
        <v>-2</v>
      </c>
      <c r="E83">
        <f t="shared" si="13"/>
        <v>0</v>
      </c>
      <c r="F83">
        <f t="shared" si="14"/>
        <v>0</v>
      </c>
      <c r="G83">
        <f t="shared" si="15"/>
        <v>1</v>
      </c>
      <c r="H83">
        <f t="shared" si="16"/>
        <v>0</v>
      </c>
      <c r="I83">
        <f t="shared" si="17"/>
        <v>0</v>
      </c>
    </row>
    <row r="84" spans="1:9" ht="15" customHeight="1" x14ac:dyDescent="0.35">
      <c r="A84">
        <f t="shared" si="12"/>
        <v>83</v>
      </c>
      <c r="B84" t="str">
        <f>raw_data!A84</f>
        <v>up</v>
      </c>
      <c r="C84">
        <f>raw_data!B84</f>
        <v>1</v>
      </c>
      <c r="D84">
        <f>raw_data!C84</f>
        <v>0</v>
      </c>
      <c r="E84">
        <f t="shared" si="13"/>
        <v>1</v>
      </c>
      <c r="F84">
        <f t="shared" si="14"/>
        <v>0</v>
      </c>
      <c r="G84">
        <f t="shared" si="15"/>
        <v>0</v>
      </c>
      <c r="H84">
        <f t="shared" si="16"/>
        <v>0</v>
      </c>
      <c r="I84">
        <f t="shared" si="17"/>
        <v>1</v>
      </c>
    </row>
    <row r="85" spans="1:9" ht="15" customHeight="1" x14ac:dyDescent="0.35">
      <c r="A85">
        <f t="shared" si="12"/>
        <v>84</v>
      </c>
      <c r="B85" t="str">
        <f>raw_data!A85</f>
        <v>up</v>
      </c>
      <c r="C85">
        <f>raw_data!B85</f>
        <v>0</v>
      </c>
      <c r="D85">
        <f>raw_data!C85</f>
        <v>1</v>
      </c>
      <c r="E85">
        <f t="shared" si="13"/>
        <v>0</v>
      </c>
      <c r="F85">
        <f t="shared" si="14"/>
        <v>0</v>
      </c>
      <c r="G85">
        <f t="shared" si="15"/>
        <v>1</v>
      </c>
      <c r="H85">
        <f t="shared" si="16"/>
        <v>0</v>
      </c>
      <c r="I85">
        <f t="shared" si="17"/>
        <v>0</v>
      </c>
    </row>
    <row r="86" spans="1:9" ht="15" customHeight="1" x14ac:dyDescent="0.35">
      <c r="A86">
        <f t="shared" si="12"/>
        <v>85</v>
      </c>
      <c r="B86" t="str">
        <f>raw_data!A86</f>
        <v>up</v>
      </c>
      <c r="C86">
        <f>raw_data!B86</f>
        <v>1</v>
      </c>
      <c r="D86">
        <f>raw_data!C86</f>
        <v>0</v>
      </c>
      <c r="E86">
        <f t="shared" si="13"/>
        <v>1</v>
      </c>
      <c r="F86">
        <f t="shared" si="14"/>
        <v>0</v>
      </c>
      <c r="G86">
        <f t="shared" si="15"/>
        <v>0</v>
      </c>
      <c r="H86">
        <f t="shared" si="16"/>
        <v>0</v>
      </c>
      <c r="I86">
        <f t="shared" si="17"/>
        <v>1</v>
      </c>
    </row>
    <row r="87" spans="1:9" ht="15" customHeight="1" x14ac:dyDescent="0.35">
      <c r="A87">
        <f t="shared" si="12"/>
        <v>86</v>
      </c>
      <c r="B87" t="str">
        <f>raw_data!A87</f>
        <v>up</v>
      </c>
      <c r="C87">
        <f>raw_data!B87</f>
        <v>0</v>
      </c>
      <c r="D87">
        <f>raw_data!C87</f>
        <v>0</v>
      </c>
      <c r="E87">
        <f t="shared" si="13"/>
        <v>1</v>
      </c>
      <c r="F87">
        <f t="shared" si="14"/>
        <v>0</v>
      </c>
      <c r="G87">
        <f t="shared" si="15"/>
        <v>0</v>
      </c>
      <c r="H87">
        <f t="shared" si="16"/>
        <v>0</v>
      </c>
      <c r="I87">
        <f t="shared" si="17"/>
        <v>1</v>
      </c>
    </row>
    <row r="88" spans="1:9" ht="15" customHeight="1" x14ac:dyDescent="0.35">
      <c r="A88">
        <f t="shared" si="12"/>
        <v>87</v>
      </c>
      <c r="B88" t="str">
        <f>raw_data!A88</f>
        <v>down</v>
      </c>
      <c r="C88">
        <f>raw_data!B88</f>
        <v>0</v>
      </c>
      <c r="D88">
        <f>raw_data!C88</f>
        <v>0</v>
      </c>
      <c r="E88">
        <f t="shared" si="13"/>
        <v>0</v>
      </c>
      <c r="F88">
        <f t="shared" si="14"/>
        <v>1</v>
      </c>
      <c r="G88">
        <f t="shared" si="15"/>
        <v>0</v>
      </c>
      <c r="H88">
        <f t="shared" si="16"/>
        <v>0</v>
      </c>
      <c r="I88">
        <f t="shared" si="17"/>
        <v>0</v>
      </c>
    </row>
    <row r="89" spans="1:9" ht="15" customHeight="1" x14ac:dyDescent="0.35">
      <c r="A89">
        <f t="shared" si="12"/>
        <v>88</v>
      </c>
      <c r="B89" t="str">
        <f>raw_data!A89</f>
        <v>down</v>
      </c>
      <c r="C89">
        <f>raw_data!B89</f>
        <v>1</v>
      </c>
      <c r="D89">
        <f>raw_data!C89</f>
        <v>-4</v>
      </c>
      <c r="E89">
        <f t="shared" si="13"/>
        <v>0</v>
      </c>
      <c r="F89">
        <f t="shared" si="14"/>
        <v>0</v>
      </c>
      <c r="G89">
        <f t="shared" si="15"/>
        <v>0</v>
      </c>
      <c r="H89">
        <f t="shared" si="16"/>
        <v>1</v>
      </c>
      <c r="I89">
        <f t="shared" si="17"/>
        <v>1</v>
      </c>
    </row>
    <row r="90" spans="1:9" ht="15" customHeight="1" x14ac:dyDescent="0.35">
      <c r="A90">
        <f t="shared" si="12"/>
        <v>89</v>
      </c>
      <c r="B90" t="str">
        <f>raw_data!A90</f>
        <v>down</v>
      </c>
      <c r="C90">
        <f>raw_data!B90</f>
        <v>0</v>
      </c>
      <c r="D90">
        <f>raw_data!C90</f>
        <v>0</v>
      </c>
      <c r="E90">
        <f t="shared" si="13"/>
        <v>0</v>
      </c>
      <c r="F90">
        <f t="shared" si="14"/>
        <v>1</v>
      </c>
      <c r="G90">
        <f t="shared" si="15"/>
        <v>0</v>
      </c>
      <c r="H90">
        <f t="shared" si="16"/>
        <v>0</v>
      </c>
      <c r="I90">
        <f t="shared" si="17"/>
        <v>0</v>
      </c>
    </row>
    <row r="91" spans="1:9" ht="15" customHeight="1" x14ac:dyDescent="0.35">
      <c r="A91">
        <f t="shared" si="12"/>
        <v>90</v>
      </c>
      <c r="B91" t="str">
        <f>raw_data!A91</f>
        <v>down</v>
      </c>
      <c r="C91">
        <f>raw_data!B91</f>
        <v>0</v>
      </c>
      <c r="D91">
        <f>raw_data!C91</f>
        <v>0</v>
      </c>
      <c r="E91">
        <f t="shared" si="13"/>
        <v>0</v>
      </c>
      <c r="F91">
        <f t="shared" si="14"/>
        <v>1</v>
      </c>
      <c r="G91">
        <f t="shared" si="15"/>
        <v>0</v>
      </c>
      <c r="H91">
        <f t="shared" si="16"/>
        <v>0</v>
      </c>
      <c r="I91">
        <f t="shared" si="17"/>
        <v>0</v>
      </c>
    </row>
    <row r="92" spans="1:9" ht="15" customHeight="1" x14ac:dyDescent="0.35">
      <c r="A92">
        <f t="shared" si="12"/>
        <v>91</v>
      </c>
      <c r="B92" t="str">
        <f>raw_data!A92</f>
        <v>up</v>
      </c>
      <c r="C92">
        <f>raw_data!B92</f>
        <v>0</v>
      </c>
      <c r="D92">
        <f>raw_data!C92</f>
        <v>3</v>
      </c>
      <c r="E92">
        <f t="shared" si="13"/>
        <v>0</v>
      </c>
      <c r="F92">
        <f t="shared" si="14"/>
        <v>0</v>
      </c>
      <c r="G92">
        <f t="shared" si="15"/>
        <v>1</v>
      </c>
      <c r="H92">
        <f t="shared" si="16"/>
        <v>0</v>
      </c>
      <c r="I92">
        <f t="shared" si="17"/>
        <v>0</v>
      </c>
    </row>
    <row r="93" spans="1:9" ht="15" customHeight="1" x14ac:dyDescent="0.35">
      <c r="A93">
        <f t="shared" si="12"/>
        <v>92</v>
      </c>
      <c r="B93" t="str">
        <f>raw_data!A93</f>
        <v>up</v>
      </c>
      <c r="C93">
        <f>raw_data!B93</f>
        <v>1</v>
      </c>
      <c r="D93">
        <f>raw_data!C93</f>
        <v>0</v>
      </c>
      <c r="E93">
        <f t="shared" si="13"/>
        <v>1</v>
      </c>
      <c r="F93">
        <f t="shared" si="14"/>
        <v>0</v>
      </c>
      <c r="G93">
        <f t="shared" si="15"/>
        <v>0</v>
      </c>
      <c r="H93">
        <f t="shared" si="16"/>
        <v>0</v>
      </c>
      <c r="I93">
        <f t="shared" si="17"/>
        <v>1</v>
      </c>
    </row>
    <row r="94" spans="1:9" ht="15" customHeight="1" x14ac:dyDescent="0.35">
      <c r="A94">
        <f t="shared" si="12"/>
        <v>93</v>
      </c>
      <c r="B94" t="str">
        <f>raw_data!A94</f>
        <v>up</v>
      </c>
      <c r="C94">
        <f>raw_data!B94</f>
        <v>0</v>
      </c>
      <c r="D94">
        <f>raw_data!C94</f>
        <v>-1</v>
      </c>
      <c r="E94">
        <f t="shared" si="13"/>
        <v>0</v>
      </c>
      <c r="F94">
        <f t="shared" si="14"/>
        <v>0</v>
      </c>
      <c r="G94">
        <f t="shared" si="15"/>
        <v>1</v>
      </c>
      <c r="H94">
        <f t="shared" si="16"/>
        <v>0</v>
      </c>
      <c r="I94">
        <f t="shared" si="17"/>
        <v>0</v>
      </c>
    </row>
    <row r="95" spans="1:9" ht="15" customHeight="1" x14ac:dyDescent="0.35">
      <c r="A95">
        <f t="shared" si="12"/>
        <v>94</v>
      </c>
      <c r="B95" t="str">
        <f>raw_data!A95</f>
        <v>up</v>
      </c>
      <c r="C95">
        <f>raw_data!B95</f>
        <v>0</v>
      </c>
      <c r="D95">
        <f>raw_data!C95</f>
        <v>3</v>
      </c>
      <c r="E95">
        <f t="shared" si="13"/>
        <v>0</v>
      </c>
      <c r="F95">
        <f t="shared" si="14"/>
        <v>0</v>
      </c>
      <c r="G95">
        <f t="shared" si="15"/>
        <v>1</v>
      </c>
      <c r="H95">
        <f t="shared" si="16"/>
        <v>0</v>
      </c>
      <c r="I95">
        <f t="shared" si="17"/>
        <v>0</v>
      </c>
    </row>
    <row r="96" spans="1:9" ht="15" customHeight="1" x14ac:dyDescent="0.35">
      <c r="A96">
        <f t="shared" si="12"/>
        <v>95</v>
      </c>
      <c r="B96" t="str">
        <f>raw_data!A96</f>
        <v>down</v>
      </c>
      <c r="C96">
        <f>raw_data!B96</f>
        <v>1</v>
      </c>
      <c r="D96">
        <f>raw_data!C96</f>
        <v>-3</v>
      </c>
      <c r="E96">
        <f t="shared" si="13"/>
        <v>0</v>
      </c>
      <c r="F96">
        <f t="shared" si="14"/>
        <v>0</v>
      </c>
      <c r="G96">
        <f t="shared" si="15"/>
        <v>0</v>
      </c>
      <c r="H96">
        <f t="shared" si="16"/>
        <v>1</v>
      </c>
      <c r="I96">
        <f t="shared" si="17"/>
        <v>1</v>
      </c>
    </row>
    <row r="97" spans="1:9" ht="15" customHeight="1" x14ac:dyDescent="0.35">
      <c r="A97">
        <f t="shared" si="12"/>
        <v>96</v>
      </c>
      <c r="B97" t="str">
        <f>raw_data!A97</f>
        <v>down</v>
      </c>
      <c r="C97">
        <f>raw_data!B97</f>
        <v>1</v>
      </c>
      <c r="D97">
        <f>raw_data!C97</f>
        <v>0</v>
      </c>
      <c r="E97">
        <f t="shared" si="13"/>
        <v>0</v>
      </c>
      <c r="F97">
        <f t="shared" si="14"/>
        <v>1</v>
      </c>
      <c r="G97">
        <f t="shared" si="15"/>
        <v>0</v>
      </c>
      <c r="H97">
        <f t="shared" si="16"/>
        <v>0</v>
      </c>
      <c r="I97">
        <f t="shared" si="17"/>
        <v>0</v>
      </c>
    </row>
    <row r="98" spans="1:9" ht="15" customHeight="1" x14ac:dyDescent="0.35">
      <c r="A98">
        <f t="shared" si="12"/>
        <v>97</v>
      </c>
      <c r="B98" t="str">
        <f>raw_data!A98</f>
        <v>up</v>
      </c>
      <c r="C98">
        <f>raw_data!B98</f>
        <v>1</v>
      </c>
      <c r="D98">
        <f>raw_data!C98</f>
        <v>0</v>
      </c>
      <c r="E98">
        <f t="shared" ref="E98:E129" si="18">IF(AND(D98=0,B98="up"),1,0)</f>
        <v>1</v>
      </c>
      <c r="F98">
        <f t="shared" si="14"/>
        <v>0</v>
      </c>
      <c r="G98">
        <f t="shared" si="15"/>
        <v>0</v>
      </c>
      <c r="H98">
        <f t="shared" si="16"/>
        <v>0</v>
      </c>
      <c r="I98">
        <f t="shared" ref="I98:I129" si="19">E98+H98</f>
        <v>1</v>
      </c>
    </row>
    <row r="99" spans="1:9" ht="15" customHeight="1" x14ac:dyDescent="0.35">
      <c r="A99">
        <f t="shared" si="12"/>
        <v>98</v>
      </c>
      <c r="B99" t="str">
        <f>raw_data!A99</f>
        <v>up</v>
      </c>
      <c r="C99">
        <f>raw_data!B99</f>
        <v>0</v>
      </c>
      <c r="D99">
        <f>raw_data!C99</f>
        <v>-5</v>
      </c>
      <c r="E99">
        <f t="shared" si="18"/>
        <v>0</v>
      </c>
      <c r="F99">
        <f t="shared" si="14"/>
        <v>0</v>
      </c>
      <c r="G99">
        <f t="shared" si="15"/>
        <v>1</v>
      </c>
      <c r="H99">
        <f t="shared" si="16"/>
        <v>0</v>
      </c>
      <c r="I99">
        <f t="shared" si="19"/>
        <v>0</v>
      </c>
    </row>
    <row r="100" spans="1:9" ht="15" customHeight="1" x14ac:dyDescent="0.35">
      <c r="A100">
        <f t="shared" si="12"/>
        <v>99</v>
      </c>
      <c r="B100" t="str">
        <f>raw_data!A100</f>
        <v>up</v>
      </c>
      <c r="C100">
        <f>raw_data!B100</f>
        <v>1</v>
      </c>
      <c r="D100">
        <f>raw_data!C100</f>
        <v>0</v>
      </c>
      <c r="E100">
        <f t="shared" si="18"/>
        <v>1</v>
      </c>
      <c r="F100">
        <f t="shared" si="14"/>
        <v>0</v>
      </c>
      <c r="G100">
        <f t="shared" si="15"/>
        <v>0</v>
      </c>
      <c r="H100">
        <f t="shared" si="16"/>
        <v>0</v>
      </c>
      <c r="I100">
        <f t="shared" si="19"/>
        <v>1</v>
      </c>
    </row>
    <row r="101" spans="1:9" ht="15" customHeight="1" x14ac:dyDescent="0.35">
      <c r="A101">
        <f t="shared" si="12"/>
        <v>100</v>
      </c>
      <c r="B101" t="str">
        <f>raw_data!A101</f>
        <v>up</v>
      </c>
      <c r="C101">
        <f>raw_data!B101</f>
        <v>1</v>
      </c>
      <c r="D101">
        <f>raw_data!C101</f>
        <v>0</v>
      </c>
      <c r="E101">
        <f t="shared" si="18"/>
        <v>1</v>
      </c>
      <c r="F101">
        <f t="shared" si="14"/>
        <v>0</v>
      </c>
      <c r="G101">
        <f t="shared" si="15"/>
        <v>0</v>
      </c>
      <c r="H101">
        <f t="shared" si="16"/>
        <v>0</v>
      </c>
      <c r="I101">
        <f t="shared" si="19"/>
        <v>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krincy thakkar</cp:lastModifiedBy>
  <cp:revision>2</cp:revision>
  <dcterms:created xsi:type="dcterms:W3CDTF">2026-09-27T17:44:23Z</dcterms:created>
  <dcterms:modified xsi:type="dcterms:W3CDTF">2026-10-05T17:20:12Z</dcterms:modified>
  <dc:language>en-US</dc:language>
</cp:coreProperties>
</file>